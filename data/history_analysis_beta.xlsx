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/>
  <mc:AlternateContent xmlns:mc="http://schemas.openxmlformats.org/markup-compatibility/2006">
    <mc:Choice Requires="x15">
      <x15ac:absPath xmlns:x15ac="http://schemas.microsoft.com/office/spreadsheetml/2010/11/ac" url="/Users/maksimdemidov/Downloads/"/>
    </mc:Choice>
  </mc:AlternateContent>
  <xr:revisionPtr revIDLastSave="0" documentId="8_{0B9AA9B2-B456-5844-ADC7-9D15E14DBF6D}" xr6:coauthVersionLast="47" xr6:coauthVersionMax="47" xr10:uidLastSave="{00000000-0000-0000-0000-000000000000}"/>
  <bookViews>
    <workbookView xWindow="14380" yWindow="620" windowWidth="14420" windowHeight="16420" firstSheet="4" activeTab="5" xr2:uid="{00000000-000D-0000-FFFF-FFFF00000000}"/>
  </bookViews>
  <sheets>
    <sheet name="Данные" sheetId="1" r:id="rId1"/>
    <sheet name="общее" sheetId="6" r:id="rId2"/>
    <sheet name="анализ репостов постов " sheetId="10" r:id="rId3"/>
    <sheet name="Сумма Продаж Каждый День" sheetId="9" r:id="rId4"/>
    <sheet name="Кол-Во Подписчиков" sheetId="8" r:id="rId5"/>
    <sheet name="Покупатели и Медиан цена" sheetId="12" r:id="rId6"/>
  </sheets>
  <definedNames>
    <definedName name="_xlnm._FilterDatabase" localSheetId="0" hidden="1">Данные!$E:$E</definedName>
    <definedName name="_xlnm._FilterDatabase" localSheetId="1" hidden="1">общее!$C$48:$I$88</definedName>
    <definedName name="_xlchart.v1.0" hidden="1">'Покупатели и Медиан цена'!$A$2:$A$38</definedName>
    <definedName name="_xlchart.v1.1" hidden="1">'Покупатели и Медиан цена'!$B$1</definedName>
    <definedName name="_xlchart.v1.2" hidden="1">'Покупатели и Медиан цена'!$B$2:$B$38</definedName>
    <definedName name="_xlchart.v1.3" hidden="1">'Покупатели и Медиан цена'!$C$1</definedName>
    <definedName name="_xlchart.v1.4" hidden="1">'Покупатели и Медиан цена'!$C$2:$C$38</definedName>
    <definedName name="_xlchart.v1.5" hidden="1">'Покупатели и Медиан цена'!$A$2:$A$38</definedName>
    <definedName name="_xlchart.v1.6" hidden="1">'Покупатели и Медиан цена'!$B$1</definedName>
    <definedName name="_xlchart.v1.7" hidden="1">'Покупатели и Медиан цена'!$B$2:$B$38</definedName>
    <definedName name="_xlchart.v1.8" hidden="1">'Покупатели и Медиан цена'!$C$1</definedName>
    <definedName name="_xlchart.v1.9" hidden="1">'Покупатели и Медиан цена'!$C$2:$C$38</definedName>
  </definedNames>
  <calcPr calcId="191029"/>
  <pivotCaches>
    <pivotCache cacheId="5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 a="1"/>
  <c r="B3" i="12" s="1"/>
  <c r="B4" i="12" a="1"/>
  <c r="B4" i="12" s="1"/>
  <c r="B5" i="12" a="1"/>
  <c r="B5" i="12" s="1"/>
  <c r="B6" i="12" a="1"/>
  <c r="B6" i="12" s="1"/>
  <c r="B7" i="12" a="1"/>
  <c r="B7" i="12" s="1"/>
  <c r="B8" i="12" a="1"/>
  <c r="B8" i="12" s="1"/>
  <c r="B9" i="12" a="1"/>
  <c r="B9" i="12" s="1"/>
  <c r="B10" i="12" a="1"/>
  <c r="B10" i="12" s="1"/>
  <c r="B11" i="12" a="1"/>
  <c r="B11" i="12" s="1"/>
  <c r="B12" i="12" a="1"/>
  <c r="B12" i="12" s="1"/>
  <c r="B13" i="12" a="1"/>
  <c r="B13" i="12" s="1"/>
  <c r="B14" i="12" a="1"/>
  <c r="B14" i="12" s="1"/>
  <c r="B15" i="12" a="1"/>
  <c r="B15" i="12" s="1"/>
  <c r="B16" i="12" a="1"/>
  <c r="B16" i="12" s="1"/>
  <c r="B17" i="12" a="1"/>
  <c r="B17" i="12" s="1"/>
  <c r="B18" i="12" a="1"/>
  <c r="B18" i="12" s="1"/>
  <c r="B19" i="12" a="1"/>
  <c r="B19" i="12" s="1"/>
  <c r="B20" i="12" a="1"/>
  <c r="B20" i="12" s="1"/>
  <c r="B21" i="12" a="1"/>
  <c r="B21" i="12" s="1"/>
  <c r="B22" i="12" a="1"/>
  <c r="B22" i="12" s="1"/>
  <c r="B23" i="12" a="1"/>
  <c r="B23" i="12" s="1"/>
  <c r="B24" i="12" a="1"/>
  <c r="B24" i="12" s="1"/>
  <c r="B25" i="12" a="1"/>
  <c r="B25" i="12" s="1"/>
  <c r="B26" i="12" a="1"/>
  <c r="B26" i="12" s="1"/>
  <c r="B27" i="12" a="1"/>
  <c r="B27" i="12" s="1"/>
  <c r="B28" i="12" a="1"/>
  <c r="B28" i="12" s="1"/>
  <c r="B29" i="12" a="1"/>
  <c r="B29" i="12" s="1"/>
  <c r="B30" i="12" a="1"/>
  <c r="B30" i="12" s="1"/>
  <c r="B31" i="12" a="1"/>
  <c r="B31" i="12" s="1"/>
  <c r="B32" i="12" a="1"/>
  <c r="B32" i="12" s="1"/>
  <c r="B33" i="12" a="1"/>
  <c r="B33" i="12" s="1"/>
  <c r="B34" i="12" a="1"/>
  <c r="B34" i="12" s="1"/>
  <c r="B35" i="12" a="1"/>
  <c r="B35" i="12" s="1"/>
  <c r="B36" i="12" a="1"/>
  <c r="B36" i="12" s="1"/>
  <c r="B37" i="12" a="1"/>
  <c r="B37" i="12" s="1"/>
  <c r="B38" i="12" a="1"/>
  <c r="B38" i="12" s="1"/>
  <c r="B2" i="12" a="1"/>
  <c r="B2" i="12" s="1"/>
  <c r="C3" i="12" a="1"/>
  <c r="C3" i="12" s="1"/>
  <c r="C4" i="12" a="1"/>
  <c r="C4" i="12" s="1"/>
  <c r="C5" i="12" a="1"/>
  <c r="C5" i="12" s="1"/>
  <c r="C6" i="12" a="1"/>
  <c r="C6" i="12" s="1"/>
  <c r="C7" i="12" a="1"/>
  <c r="C7" i="12" s="1"/>
  <c r="C8" i="12" a="1"/>
  <c r="C8" i="12" s="1"/>
  <c r="C9" i="12" a="1"/>
  <c r="C9" i="12" s="1"/>
  <c r="C10" i="12" a="1"/>
  <c r="C10" i="12" s="1"/>
  <c r="C11" i="12" a="1"/>
  <c r="C11" i="12" s="1"/>
  <c r="C12" i="12" a="1"/>
  <c r="C12" i="12" s="1"/>
  <c r="C13" i="12" a="1"/>
  <c r="C13" i="12" s="1"/>
  <c r="C14" i="12" a="1"/>
  <c r="C14" i="12" s="1"/>
  <c r="C15" i="12" a="1"/>
  <c r="C15" i="12" s="1"/>
  <c r="C16" i="12" a="1"/>
  <c r="C16" i="12" s="1"/>
  <c r="C17" i="12" a="1"/>
  <c r="C17" i="12" s="1"/>
  <c r="C18" i="12" a="1"/>
  <c r="C18" i="12" s="1"/>
  <c r="C19" i="12" a="1"/>
  <c r="C19" i="12" s="1"/>
  <c r="C20" i="12" a="1"/>
  <c r="C20" i="12" s="1"/>
  <c r="C21" i="12" a="1"/>
  <c r="C21" i="12" s="1"/>
  <c r="C22" i="12" a="1"/>
  <c r="C22" i="12" s="1"/>
  <c r="C23" i="12" a="1"/>
  <c r="C23" i="12" s="1"/>
  <c r="C24" i="12" a="1"/>
  <c r="C24" i="12" s="1"/>
  <c r="C25" i="12" a="1"/>
  <c r="C25" i="12" s="1"/>
  <c r="C26" i="12" a="1"/>
  <c r="C26" i="12" s="1"/>
  <c r="C27" i="12" a="1"/>
  <c r="C27" i="12" s="1"/>
  <c r="C28" i="12" a="1"/>
  <c r="C28" i="12" s="1"/>
  <c r="C29" i="12" a="1"/>
  <c r="C29" i="12" s="1"/>
  <c r="C30" i="12" a="1"/>
  <c r="C30" i="12" s="1"/>
  <c r="C31" i="12" a="1"/>
  <c r="C31" i="12" s="1"/>
  <c r="C32" i="12" a="1"/>
  <c r="C32" i="12" s="1"/>
  <c r="C33" i="12" a="1"/>
  <c r="C33" i="12" s="1"/>
  <c r="C34" i="12" a="1"/>
  <c r="C34" i="12" s="1"/>
  <c r="C35" i="12" a="1"/>
  <c r="C35" i="12" s="1"/>
  <c r="C36" i="12" a="1"/>
  <c r="C36" i="12" s="1"/>
  <c r="C37" i="12" a="1"/>
  <c r="C37" i="12" s="1"/>
  <c r="C38" i="12" a="1"/>
  <c r="C38" i="12" s="1"/>
  <c r="C2" i="12" a="1"/>
  <c r="C2" i="12" s="1"/>
  <c r="F6" i="10"/>
  <c r="F7" i="10"/>
  <c r="F8" i="10"/>
  <c r="F9" i="10"/>
  <c r="F10" i="10"/>
  <c r="F11" i="10"/>
  <c r="F12" i="10"/>
  <c r="F13" i="10"/>
  <c r="F5" i="10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E790" i="1"/>
  <c r="E791" i="1"/>
  <c r="E792" i="1"/>
  <c r="E793" i="1"/>
  <c r="E794" i="1"/>
  <c r="E548" i="1"/>
  <c r="E105" i="1"/>
  <c r="E446" i="1"/>
  <c r="E134" i="1"/>
  <c r="E235" i="1"/>
  <c r="E696" i="1"/>
  <c r="E631" i="1"/>
  <c r="E632" i="1"/>
  <c r="E702" i="1"/>
  <c r="E256" i="1"/>
  <c r="E230" i="1"/>
  <c r="E36" i="1"/>
  <c r="E37" i="1"/>
  <c r="E654" i="1"/>
  <c r="E713" i="1"/>
  <c r="E714" i="1"/>
  <c r="E559" i="1"/>
  <c r="E723" i="1"/>
  <c r="E205" i="1"/>
  <c r="E111" i="1"/>
  <c r="E39" i="1"/>
  <c r="E721" i="1"/>
  <c r="E701" i="1"/>
  <c r="E175" i="1"/>
  <c r="E119" i="1"/>
  <c r="E120" i="1"/>
  <c r="E121" i="1"/>
  <c r="E706" i="1"/>
  <c r="E684" i="1"/>
  <c r="E447" i="1"/>
  <c r="E448" i="1"/>
  <c r="E153" i="1"/>
  <c r="E154" i="1"/>
  <c r="E166" i="1"/>
  <c r="E167" i="1"/>
  <c r="E745" i="1"/>
  <c r="E115" i="1"/>
  <c r="E151" i="1"/>
  <c r="E245" i="1"/>
  <c r="E202" i="1"/>
  <c r="E670" i="1"/>
  <c r="E769" i="1"/>
  <c r="E770" i="1"/>
  <c r="E303" i="1"/>
  <c r="E285" i="1"/>
  <c r="E352" i="1"/>
  <c r="E762" i="1"/>
  <c r="E763" i="1"/>
  <c r="E75" i="1"/>
  <c r="E692" i="1"/>
  <c r="E283" i="1"/>
  <c r="E284" i="1"/>
  <c r="E484" i="1"/>
  <c r="E485" i="1"/>
  <c r="E514" i="1"/>
  <c r="E764" i="1"/>
  <c r="E253" i="1"/>
  <c r="E773" i="1"/>
  <c r="E483" i="1"/>
  <c r="E216" i="1"/>
  <c r="E217" i="1"/>
  <c r="E180" i="1"/>
  <c r="E164" i="1"/>
  <c r="E401" i="1"/>
  <c r="E197" i="1"/>
  <c r="E316" i="1"/>
  <c r="E545" i="1"/>
  <c r="E98" i="1"/>
  <c r="E495" i="1"/>
  <c r="E384" i="1"/>
  <c r="E302" i="1"/>
  <c r="E177" i="1"/>
  <c r="E628" i="1"/>
  <c r="E374" i="1"/>
  <c r="E375" i="1"/>
  <c r="E126" i="1"/>
  <c r="E731" i="1"/>
  <c r="E349" i="1"/>
  <c r="E350" i="1"/>
  <c r="E467" i="1"/>
  <c r="E751" i="1"/>
  <c r="E299" i="1"/>
  <c r="E754" i="1"/>
  <c r="E755" i="1"/>
  <c r="E152" i="1"/>
  <c r="E382" i="1"/>
  <c r="E383" i="1"/>
  <c r="E698" i="1"/>
  <c r="E183" i="1"/>
  <c r="E184" i="1"/>
  <c r="E371" i="1"/>
  <c r="E372" i="1"/>
  <c r="E774" i="1"/>
  <c r="E674" i="1"/>
  <c r="E752" i="1"/>
  <c r="E403" i="1"/>
  <c r="E225" i="1"/>
  <c r="E226" i="1"/>
  <c r="E715" i="1"/>
  <c r="E543" i="1"/>
  <c r="E544" i="1"/>
  <c r="E528" i="1"/>
  <c r="E413" i="1"/>
  <c r="E414" i="1"/>
  <c r="E649" i="1"/>
  <c r="E341" i="1"/>
  <c r="E753" i="1"/>
  <c r="E67" i="1"/>
  <c r="E415" i="1"/>
  <c r="E450" i="1"/>
  <c r="E451" i="1"/>
  <c r="E787" i="1"/>
  <c r="E602" i="1"/>
  <c r="E749" i="1"/>
  <c r="E13" i="1"/>
  <c r="E672" i="1"/>
  <c r="E564" i="1"/>
  <c r="E102" i="1"/>
  <c r="E266" i="1"/>
  <c r="E8" i="1"/>
  <c r="E249" i="1"/>
  <c r="E273" i="1"/>
  <c r="E274" i="1"/>
  <c r="E500" i="1"/>
  <c r="E73" i="1"/>
  <c r="E74" i="1"/>
  <c r="E434" i="1"/>
  <c r="E435" i="1"/>
  <c r="E15" i="1"/>
  <c r="E133" i="1"/>
  <c r="E416" i="1"/>
  <c r="E546" i="1"/>
  <c r="E547" i="1"/>
  <c r="E419" i="1"/>
  <c r="E397" i="1"/>
  <c r="E218" i="1"/>
  <c r="E275" i="1"/>
  <c r="E463" i="1"/>
  <c r="E464" i="1"/>
  <c r="E531" i="1"/>
  <c r="E482" i="1"/>
  <c r="E298" i="1"/>
  <c r="E686" i="1"/>
  <c r="E687" i="1"/>
  <c r="E412" i="1"/>
  <c r="E361" i="1"/>
  <c r="E705" i="1"/>
  <c r="E695" i="1"/>
  <c r="E181" i="1"/>
  <c r="E251" i="1"/>
  <c r="E707" i="1"/>
  <c r="E637" i="1"/>
  <c r="E638" i="1"/>
  <c r="E648" i="1"/>
  <c r="E307" i="1"/>
  <c r="E308" i="1"/>
  <c r="E498" i="1"/>
  <c r="E499" i="1"/>
  <c r="E185" i="1"/>
  <c r="E186" i="1"/>
  <c r="E11" i="1"/>
  <c r="E12" i="1"/>
  <c r="E82" i="1"/>
  <c r="E69" i="1"/>
  <c r="E70" i="1"/>
  <c r="E265" i="1"/>
  <c r="E424" i="1"/>
  <c r="E187" i="1"/>
  <c r="E410" i="1"/>
  <c r="E24" i="1"/>
  <c r="E85" i="1"/>
  <c r="E86" i="1"/>
  <c r="E408" i="1"/>
  <c r="E409" i="1"/>
  <c r="E665" i="1"/>
  <c r="E242" i="1"/>
  <c r="E515" i="1"/>
  <c r="E358" i="1"/>
  <c r="E211" i="1"/>
  <c r="E212" i="1"/>
  <c r="E679" i="1"/>
  <c r="E680" i="1"/>
  <c r="E250" i="1"/>
  <c r="E130" i="1"/>
  <c r="E452" i="1"/>
  <c r="E429" i="1"/>
  <c r="E227" i="1"/>
  <c r="E726" i="1"/>
  <c r="E541" i="1"/>
  <c r="E557" i="1"/>
  <c r="E35" i="1"/>
  <c r="E142" i="1"/>
  <c r="E438" i="1"/>
  <c r="E439" i="1"/>
  <c r="E178" i="1"/>
  <c r="E155" i="1"/>
  <c r="E156" i="1"/>
  <c r="E690" i="1"/>
  <c r="E521" i="1"/>
  <c r="E772" i="1"/>
  <c r="E442" i="1"/>
  <c r="E443" i="1"/>
  <c r="E444" i="1"/>
  <c r="E445" i="1"/>
  <c r="E398" i="1"/>
  <c r="E399" i="1"/>
  <c r="E697" i="1"/>
  <c r="E402" i="1"/>
  <c r="E525" i="1"/>
  <c r="E796" i="1"/>
  <c r="E620" i="1"/>
  <c r="E621" i="1"/>
  <c r="E623" i="1"/>
  <c r="E300" i="1"/>
  <c r="E332" i="1"/>
  <c r="E333" i="1"/>
  <c r="E405" i="1"/>
  <c r="E420" i="1"/>
  <c r="E421" i="1"/>
  <c r="E376" i="1"/>
  <c r="E377" i="1"/>
  <c r="E756" i="1"/>
  <c r="E584" i="1"/>
  <c r="E106" i="1"/>
  <c r="E107" i="1"/>
  <c r="E94" i="1"/>
  <c r="E252" i="1"/>
  <c r="E338" i="1"/>
  <c r="E671" i="1"/>
  <c r="E309" i="1"/>
  <c r="E310" i="1"/>
  <c r="E781" i="1"/>
  <c r="E782" i="1"/>
  <c r="E381" i="1"/>
  <c r="E757" i="1"/>
  <c r="E387" i="1"/>
  <c r="E368" i="1"/>
  <c r="E190" i="1"/>
  <c r="E305" i="1"/>
  <c r="E306" i="1"/>
  <c r="E453" i="1"/>
  <c r="E331" i="1"/>
  <c r="E339" i="1"/>
  <c r="E340" i="1"/>
  <c r="E17" i="1"/>
  <c r="E18" i="1"/>
  <c r="E171" i="1"/>
  <c r="E776" i="1"/>
  <c r="E14" i="1"/>
  <c r="E534" i="1"/>
  <c r="E76" i="1"/>
  <c r="E77" i="1"/>
  <c r="E163" i="1"/>
  <c r="E746" i="1"/>
  <c r="E254" i="1"/>
  <c r="E354" i="1"/>
  <c r="E585" i="1"/>
  <c r="E536" i="1"/>
  <c r="E537" i="1"/>
  <c r="E538" i="1"/>
  <c r="E539" i="1"/>
  <c r="E540" i="1"/>
  <c r="E99" i="1"/>
  <c r="E64" i="1"/>
  <c r="E233" i="1"/>
  <c r="E356" i="1"/>
  <c r="E459" i="1"/>
  <c r="E347" i="1"/>
  <c r="E651" i="1"/>
  <c r="E513" i="1"/>
  <c r="E328" i="1"/>
  <c r="E490" i="1"/>
  <c r="E465" i="1"/>
  <c r="E392" i="1"/>
  <c r="E558" i="1"/>
  <c r="E666" i="1"/>
  <c r="E760" i="1"/>
  <c r="E529" i="1"/>
  <c r="E530" i="1"/>
  <c r="E317" i="1"/>
  <c r="E32" i="1"/>
  <c r="E658" i="1"/>
  <c r="E659" i="1"/>
  <c r="E736" i="1"/>
  <c r="E591" i="1"/>
  <c r="E489" i="1"/>
  <c r="E758" i="1"/>
  <c r="E759" i="1"/>
  <c r="E432" i="1"/>
  <c r="E62" i="1"/>
  <c r="E379" i="1"/>
  <c r="E191" i="1"/>
  <c r="E33" i="1"/>
  <c r="E231" i="1"/>
  <c r="E232" i="1"/>
  <c r="E724" i="1"/>
  <c r="E87" i="1"/>
  <c r="E334" i="1"/>
  <c r="E406" i="1"/>
  <c r="E571" i="1"/>
  <c r="E572" i="1"/>
  <c r="E52" i="1"/>
  <c r="E563" i="1"/>
  <c r="E501" i="1"/>
  <c r="E393" i="1"/>
  <c r="E423" i="1"/>
  <c r="E653" i="1"/>
  <c r="E581" i="1"/>
  <c r="E582" i="1"/>
  <c r="E516" i="1"/>
  <c r="E578" i="1"/>
  <c r="E493" i="1"/>
  <c r="E248" i="1"/>
  <c r="E699" i="1"/>
  <c r="E700" i="1"/>
  <c r="E263" i="1"/>
  <c r="E264" i="1"/>
  <c r="E312" i="1"/>
  <c r="E733" i="1"/>
  <c r="E734" i="1"/>
  <c r="E93" i="1"/>
  <c r="E16" i="1"/>
  <c r="E214" i="1"/>
  <c r="E158" i="1"/>
  <c r="E778" i="1"/>
  <c r="E779" i="1"/>
  <c r="E480" i="1"/>
  <c r="E472" i="1"/>
  <c r="E473" i="1"/>
  <c r="E125" i="1"/>
  <c r="E288" i="1"/>
  <c r="E550" i="1"/>
  <c r="E456" i="1"/>
  <c r="E362" i="1"/>
  <c r="E19" i="1"/>
  <c r="E20" i="1"/>
  <c r="E704" i="1"/>
  <c r="E313" i="1"/>
  <c r="E22" i="1"/>
  <c r="E21" i="1"/>
  <c r="E524" i="1"/>
  <c r="E327" i="1"/>
  <c r="E373" i="1"/>
  <c r="E404" i="1"/>
  <c r="E735" i="1"/>
  <c r="E518" i="1"/>
  <c r="E519" i="1"/>
  <c r="E616" i="1"/>
  <c r="E617" i="1"/>
  <c r="E618" i="1"/>
  <c r="E219" i="1"/>
  <c r="E511" i="1"/>
  <c r="E512" i="1"/>
  <c r="E725" i="1"/>
  <c r="E355" i="1"/>
  <c r="E43" i="1"/>
  <c r="E44" i="1"/>
  <c r="E633" i="1"/>
  <c r="E728" i="1"/>
  <c r="E729" i="1"/>
  <c r="E220" i="1"/>
  <c r="E221" i="1"/>
  <c r="E343" i="1"/>
  <c r="E30" i="1"/>
  <c r="E458" i="1"/>
  <c r="E359" i="1"/>
  <c r="E360" i="1"/>
  <c r="E258" i="1"/>
  <c r="E608" i="1"/>
  <c r="E592" i="1"/>
  <c r="E145" i="1"/>
  <c r="E71" i="1"/>
  <c r="E72" i="1"/>
  <c r="E127" i="1"/>
  <c r="E454" i="1"/>
  <c r="E455" i="1"/>
  <c r="E159" i="1"/>
  <c r="E160" i="1"/>
  <c r="E517" i="1"/>
  <c r="E23" i="1"/>
  <c r="E604" i="1"/>
  <c r="E605" i="1"/>
  <c r="E703" i="1"/>
  <c r="E641" i="1"/>
  <c r="E642" i="1"/>
  <c r="E137" i="1"/>
  <c r="E586" i="1"/>
  <c r="E587" i="1"/>
  <c r="E131" i="1"/>
  <c r="E132" i="1"/>
  <c r="E234" i="1"/>
  <c r="E63" i="1"/>
  <c r="E27" i="1"/>
  <c r="E28" i="1"/>
  <c r="E116" i="1"/>
  <c r="E117" i="1"/>
  <c r="E109" i="1"/>
  <c r="E110" i="1"/>
  <c r="E785" i="1"/>
  <c r="E336" i="1"/>
  <c r="E337" i="1"/>
  <c r="E215" i="1"/>
  <c r="E460" i="1"/>
  <c r="E461" i="1"/>
  <c r="E346" i="1"/>
  <c r="E247" i="1"/>
  <c r="E542" i="1"/>
  <c r="E712" i="1"/>
  <c r="E590" i="1"/>
  <c r="E280" i="1"/>
  <c r="E737" i="1"/>
  <c r="E243" i="1"/>
  <c r="E786" i="1"/>
  <c r="E676" i="1"/>
  <c r="E294" i="1"/>
  <c r="E589" i="1"/>
  <c r="E314" i="1"/>
  <c r="E609" i="1"/>
  <c r="E567" i="1"/>
  <c r="E108" i="1"/>
  <c r="E385" i="1"/>
  <c r="E775" i="1"/>
  <c r="E738" i="1"/>
  <c r="E380" i="1"/>
  <c r="E276" i="1"/>
  <c r="E277" i="1"/>
  <c r="E657" i="1"/>
  <c r="E601" i="1"/>
  <c r="E244" i="1"/>
  <c r="E124" i="1"/>
  <c r="E716" i="1"/>
  <c r="E717" i="1"/>
  <c r="E718" i="1"/>
  <c r="E719" i="1"/>
  <c r="E369" i="1"/>
  <c r="E396" i="1"/>
  <c r="E157" i="1"/>
  <c r="E48" i="1"/>
  <c r="E311" i="1"/>
  <c r="E139" i="1"/>
  <c r="E140" i="1"/>
  <c r="E319" i="1"/>
  <c r="E329" i="1"/>
  <c r="E330" i="1"/>
  <c r="E165" i="1"/>
  <c r="E611" i="1"/>
  <c r="E588" i="1"/>
  <c r="E682" i="1"/>
  <c r="E683" i="1"/>
  <c r="E613" i="1"/>
  <c r="E607" i="1"/>
  <c r="E141" i="1"/>
  <c r="E780" i="1"/>
  <c r="E161" i="1"/>
  <c r="E162" i="1"/>
  <c r="E610" i="1"/>
  <c r="E630" i="1"/>
  <c r="E565" i="1"/>
  <c r="E566" i="1"/>
  <c r="E292" i="1"/>
  <c r="E502" i="1"/>
  <c r="E239" i="1"/>
  <c r="E96" i="1"/>
  <c r="E97" i="1"/>
  <c r="E209" i="1"/>
  <c r="E520" i="1"/>
  <c r="E261" i="1"/>
  <c r="E295" i="1"/>
  <c r="E462" i="1"/>
  <c r="E636" i="1"/>
  <c r="E580" i="1"/>
  <c r="E741" i="1"/>
  <c r="E644" i="1"/>
  <c r="E675" i="1"/>
  <c r="E739" i="1"/>
  <c r="E118" i="1"/>
  <c r="E81" i="1"/>
  <c r="E146" i="1"/>
  <c r="E147" i="1"/>
  <c r="E593" i="1"/>
  <c r="E503" i="1"/>
  <c r="E574" i="1"/>
  <c r="E655" i="1"/>
  <c r="E652" i="1"/>
  <c r="E795" i="1"/>
  <c r="E192" i="1"/>
  <c r="E596" i="1"/>
  <c r="E58" i="1"/>
  <c r="E479" i="1"/>
  <c r="E45" i="1"/>
  <c r="E46" i="1"/>
  <c r="E286" i="1"/>
  <c r="E668" i="1"/>
  <c r="E84" i="1"/>
  <c r="E688" i="1"/>
  <c r="E689" i="1"/>
  <c r="E213" i="1"/>
  <c r="E425" i="1"/>
  <c r="E426" i="1"/>
  <c r="E555" i="1"/>
  <c r="E556" i="1"/>
  <c r="E262" i="1"/>
  <c r="E79" i="1"/>
  <c r="E80" i="1"/>
  <c r="E569" i="1"/>
  <c r="E527" i="1"/>
  <c r="E366" i="1"/>
  <c r="E367" i="1"/>
  <c r="E390" i="1"/>
  <c r="E246" i="1"/>
  <c r="E65" i="1"/>
  <c r="E66" i="1"/>
  <c r="E626" i="1"/>
  <c r="E627" i="1"/>
  <c r="E767" i="1"/>
  <c r="E6" i="1"/>
  <c r="E357" i="1"/>
  <c r="E664" i="1"/>
  <c r="E469" i="1"/>
  <c r="E478" i="1"/>
  <c r="E168" i="1"/>
  <c r="E169" i="1"/>
  <c r="E720" i="1"/>
  <c r="E122" i="1"/>
  <c r="E123" i="1"/>
  <c r="E353" i="1"/>
  <c r="E2" i="1"/>
  <c r="E3" i="1"/>
  <c r="E304" i="1"/>
  <c r="E488" i="1"/>
  <c r="E777" i="1"/>
  <c r="E170" i="1"/>
  <c r="E386" i="1"/>
  <c r="E272" i="1"/>
  <c r="E257" i="1"/>
  <c r="E4" i="1"/>
  <c r="E5" i="1"/>
  <c r="E788" i="1"/>
  <c r="E789" i="1"/>
  <c r="E176" i="1"/>
  <c r="E182" i="1"/>
  <c r="E348" i="1"/>
  <c r="E259" i="1"/>
  <c r="E260" i="1"/>
  <c r="E732" i="1"/>
  <c r="E576" i="1"/>
  <c r="E51" i="1"/>
  <c r="E422" i="1"/>
  <c r="E222" i="1"/>
  <c r="E744" i="1"/>
  <c r="E411" i="1"/>
  <c r="E771" i="1"/>
  <c r="E95" i="1"/>
  <c r="E315" i="1"/>
  <c r="E29" i="1"/>
  <c r="E238" i="1"/>
  <c r="E661" i="1"/>
  <c r="E662" i="1"/>
  <c r="E136" i="1"/>
  <c r="E417" i="1"/>
  <c r="E206" i="1"/>
  <c r="E748" i="1"/>
  <c r="E431" i="1"/>
  <c r="E189" i="1"/>
  <c r="E287" i="1"/>
  <c r="E68" i="1"/>
  <c r="E143" i="1"/>
  <c r="E144" i="1"/>
  <c r="E625" i="1"/>
  <c r="E708" i="1"/>
  <c r="E42" i="1"/>
  <c r="E255" i="1"/>
  <c r="E400" i="1"/>
  <c r="E113" i="1"/>
  <c r="E114" i="1"/>
  <c r="E25" i="1"/>
  <c r="E281" i="1"/>
  <c r="E174" i="1"/>
  <c r="E271" i="1"/>
  <c r="E7" i="1"/>
  <c r="E31" i="1"/>
  <c r="E267" i="1"/>
  <c r="E268" i="1"/>
  <c r="E468" i="1"/>
  <c r="E269" i="1"/>
  <c r="E322" i="1"/>
  <c r="E551" i="1"/>
  <c r="E645" i="1"/>
  <c r="E646" i="1"/>
  <c r="E135" i="1"/>
  <c r="E391" i="1"/>
  <c r="E603" i="1"/>
  <c r="E750" i="1"/>
  <c r="E297" i="1"/>
  <c r="E570" i="1"/>
  <c r="E681" i="1"/>
  <c r="E522" i="1"/>
  <c r="E523" i="1"/>
  <c r="E318" i="1"/>
  <c r="E504" i="1"/>
  <c r="E203" i="1"/>
  <c r="E204" i="1"/>
  <c r="E768" i="1"/>
  <c r="E188" i="1"/>
  <c r="E296" i="1"/>
  <c r="E634" i="1"/>
  <c r="E507" i="1"/>
  <c r="E508" i="1"/>
  <c r="E577" i="1"/>
  <c r="E223" i="1"/>
  <c r="E224" i="1"/>
  <c r="E436" i="1"/>
  <c r="E78" i="1"/>
  <c r="E172" i="1"/>
  <c r="E173" i="1"/>
  <c r="E579" i="1"/>
  <c r="E761" i="1"/>
  <c r="E640" i="1"/>
  <c r="E61" i="1"/>
  <c r="E57" i="1"/>
  <c r="E364" i="1"/>
  <c r="E365" i="1"/>
  <c r="E342" i="1"/>
  <c r="E647" i="1"/>
  <c r="E59" i="1"/>
  <c r="E60" i="1"/>
  <c r="E650" i="1"/>
  <c r="E38" i="1"/>
  <c r="E194" i="1"/>
  <c r="E195" i="1"/>
  <c r="E196" i="1"/>
  <c r="E90" i="1"/>
  <c r="E240" i="1"/>
  <c r="E278" i="1"/>
  <c r="E562" i="1"/>
  <c r="E526" i="1"/>
  <c r="E320" i="1"/>
  <c r="E437" i="1"/>
  <c r="E100" i="1"/>
  <c r="E101" i="1"/>
  <c r="E730" i="1"/>
  <c r="E394" i="1"/>
  <c r="E395" i="1"/>
  <c r="E740" i="1"/>
  <c r="E477" i="1"/>
  <c r="E49" i="1"/>
  <c r="E50" i="1"/>
  <c r="E639" i="1"/>
  <c r="E481" i="1"/>
  <c r="E474" i="1"/>
  <c r="E475" i="1"/>
  <c r="E236" i="1"/>
  <c r="E237" i="1"/>
  <c r="E228" i="1"/>
  <c r="E229" i="1"/>
  <c r="E496" i="1"/>
  <c r="E497" i="1"/>
  <c r="E378" i="1"/>
  <c r="E660" i="1"/>
  <c r="E560" i="1"/>
  <c r="E561" i="1"/>
  <c r="E370" i="1"/>
  <c r="E112" i="1"/>
  <c r="E179" i="1"/>
  <c r="E685" i="1"/>
  <c r="E208" i="1"/>
  <c r="E532" i="1"/>
  <c r="E533" i="1"/>
  <c r="E765" i="1"/>
  <c r="E766" i="1"/>
  <c r="E388" i="1"/>
  <c r="E389" i="1"/>
  <c r="E128" i="1"/>
  <c r="E554" i="1"/>
  <c r="E427" i="1"/>
  <c r="E678" i="1"/>
  <c r="E40" i="1"/>
  <c r="E41" i="1"/>
  <c r="E552" i="1"/>
  <c r="E553" i="1"/>
  <c r="E663" i="1"/>
  <c r="E363" i="1"/>
  <c r="E549" i="1"/>
  <c r="E335" i="1"/>
  <c r="E418" i="1"/>
  <c r="E595" i="1"/>
  <c r="E279" i="1"/>
  <c r="E148" i="1"/>
  <c r="E270" i="1"/>
  <c r="E486" i="1"/>
  <c r="E487" i="1"/>
  <c r="E492" i="1"/>
  <c r="E783" i="1"/>
  <c r="E784" i="1"/>
  <c r="E440" i="1"/>
  <c r="E441" i="1"/>
  <c r="E691" i="1"/>
  <c r="E88" i="1"/>
  <c r="E89" i="1"/>
  <c r="E9" i="1"/>
  <c r="E10" i="1"/>
  <c r="E568" i="1"/>
  <c r="E476" i="1"/>
  <c r="E622" i="1"/>
  <c r="E289" i="1"/>
  <c r="E290" i="1"/>
  <c r="E291" i="1"/>
  <c r="E624" i="1"/>
  <c r="E129" i="1"/>
  <c r="E301" i="1"/>
  <c r="E26" i="1"/>
  <c r="E351" i="1"/>
  <c r="E345" i="1"/>
  <c r="E612" i="1"/>
  <c r="E407" i="1"/>
  <c r="E193" i="1"/>
  <c r="E470" i="1"/>
  <c r="E471" i="1"/>
  <c r="E241" i="1"/>
  <c r="E433" i="1"/>
  <c r="E210" i="1"/>
  <c r="E150" i="1"/>
  <c r="E606" i="1"/>
  <c r="E635" i="1"/>
  <c r="E293" i="1"/>
  <c r="E743" i="1"/>
  <c r="E594" i="1"/>
  <c r="E324" i="1"/>
  <c r="E325" i="1"/>
  <c r="E669" i="1"/>
  <c r="E149" i="1"/>
  <c r="E91" i="1"/>
  <c r="E92" i="1"/>
  <c r="E430" i="1"/>
  <c r="E510" i="1"/>
  <c r="E321" i="1"/>
  <c r="E598" i="1"/>
  <c r="E599" i="1"/>
  <c r="E600" i="1"/>
  <c r="E709" i="1"/>
  <c r="E710" i="1"/>
  <c r="E673" i="1"/>
  <c r="E282" i="1"/>
  <c r="E742" i="1"/>
  <c r="E428" i="1"/>
  <c r="E207" i="1"/>
  <c r="E344" i="1"/>
  <c r="E643" i="1"/>
  <c r="E83" i="1"/>
  <c r="E55" i="1"/>
  <c r="E56" i="1"/>
  <c r="E535" i="1"/>
  <c r="E575" i="1"/>
  <c r="E201" i="1"/>
  <c r="E326" i="1"/>
  <c r="E656" i="1"/>
  <c r="E103" i="1"/>
  <c r="E104" i="1"/>
  <c r="E693" i="1"/>
  <c r="E694" i="1"/>
  <c r="E198" i="1"/>
  <c r="E199" i="1"/>
  <c r="E711" i="1"/>
  <c r="E722" i="1"/>
  <c r="E677" i="1"/>
  <c r="E491" i="1"/>
  <c r="E34" i="1"/>
  <c r="E505" i="1"/>
  <c r="E506" i="1"/>
  <c r="E466" i="1"/>
  <c r="E614" i="1"/>
  <c r="E615" i="1"/>
  <c r="E457" i="1"/>
  <c r="E138" i="1"/>
  <c r="E747" i="1"/>
  <c r="E494" i="1"/>
  <c r="E619" i="1"/>
  <c r="E200" i="1"/>
  <c r="E667" i="1"/>
  <c r="E597" i="1"/>
  <c r="E509" i="1"/>
  <c r="E323" i="1"/>
  <c r="E573" i="1"/>
  <c r="E47" i="1"/>
  <c r="E53" i="1"/>
  <c r="E54" i="1"/>
  <c r="E583" i="1"/>
  <c r="E727" i="1"/>
  <c r="E449" i="1"/>
  <c r="E6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<sst xmlns="http://schemas.openxmlformats.org/spreadsheetml/2006/main" count="941" uniqueCount="97">
  <si>
    <t>Номер студента</t>
  </si>
  <si>
    <t>Сумма</t>
  </si>
  <si>
    <t>Курс</t>
  </si>
  <si>
    <t>Время</t>
  </si>
  <si>
    <t>ML про</t>
  </si>
  <si>
    <t>Аналитика старт</t>
  </si>
  <si>
    <t>Линейная алгебра</t>
  </si>
  <si>
    <t>Мат анализ</t>
  </si>
  <si>
    <t>К ВУЗу</t>
  </si>
  <si>
    <t>Data Science</t>
  </si>
  <si>
    <t>Backend старт</t>
  </si>
  <si>
    <t>ML старт</t>
  </si>
  <si>
    <t>Backend про</t>
  </si>
  <si>
    <t>АВ тестам</t>
  </si>
  <si>
    <t>Теория вероятностей</t>
  </si>
  <si>
    <t>Алгоритмы старт</t>
  </si>
  <si>
    <t>Алгоритмы</t>
  </si>
  <si>
    <t>Аналитика про</t>
  </si>
  <si>
    <t>Data Engenering</t>
  </si>
  <si>
    <t>Алгоритмы про</t>
  </si>
  <si>
    <t>AI агенты</t>
  </si>
  <si>
    <t>Дискретка</t>
  </si>
  <si>
    <t>Названия строк</t>
  </si>
  <si>
    <t>Общий итог</t>
  </si>
  <si>
    <t>Названия столбцов</t>
  </si>
  <si>
    <t>Сумма по полю Сумма</t>
  </si>
  <si>
    <t>04.авг</t>
  </si>
  <si>
    <t>05.авг</t>
  </si>
  <si>
    <t>06.авг</t>
  </si>
  <si>
    <t>07.авг</t>
  </si>
  <si>
    <t>08.авг</t>
  </si>
  <si>
    <t>09.авг</t>
  </si>
  <si>
    <t>10.авг</t>
  </si>
  <si>
    <t>11.авг</t>
  </si>
  <si>
    <t>12.авг</t>
  </si>
  <si>
    <t>13.авг</t>
  </si>
  <si>
    <t>14.авг</t>
  </si>
  <si>
    <t>15.авг</t>
  </si>
  <si>
    <t>16.авг</t>
  </si>
  <si>
    <t>17.авг</t>
  </si>
  <si>
    <t>18.авг</t>
  </si>
  <si>
    <t>19.авг</t>
  </si>
  <si>
    <t>20.авг</t>
  </si>
  <si>
    <t>21.авг</t>
  </si>
  <si>
    <t>22.авг</t>
  </si>
  <si>
    <t>23.авг</t>
  </si>
  <si>
    <t>24.авг</t>
  </si>
  <si>
    <t>25.авг</t>
  </si>
  <si>
    <t>26.авг</t>
  </si>
  <si>
    <t>27.авг</t>
  </si>
  <si>
    <t>28.авг</t>
  </si>
  <si>
    <t>29.авг</t>
  </si>
  <si>
    <t>30.авг</t>
  </si>
  <si>
    <t>31.авг</t>
  </si>
  <si>
    <t>01.сент</t>
  </si>
  <si>
    <t>02.сент</t>
  </si>
  <si>
    <t>03.сент</t>
  </si>
  <si>
    <t>04.сент</t>
  </si>
  <si>
    <t>05.сент</t>
  </si>
  <si>
    <t>06.сент</t>
  </si>
  <si>
    <t>07.сент</t>
  </si>
  <si>
    <t>08.сент</t>
  </si>
  <si>
    <t>09.сент</t>
  </si>
  <si>
    <t>10.сент</t>
  </si>
  <si>
    <t>Дата</t>
  </si>
  <si>
    <t>Каналы</t>
  </si>
  <si>
    <t>Кол-во Подписчиков</t>
  </si>
  <si>
    <t>https://t.me/chad_protocol/510</t>
  </si>
  <si>
    <t>https://t.me/postypashki_mems/1373</t>
  </si>
  <si>
    <t>https://tgstat.ru/channel/@analytess/925</t>
  </si>
  <si>
    <t>Кол-во Просмотров</t>
  </si>
  <si>
    <t>Просм/Подписч</t>
  </si>
  <si>
    <t>https://tgstat.ru/channel/@zadachi_ds/390</t>
  </si>
  <si>
    <t>удален</t>
  </si>
  <si>
    <t>https://t.me/codeof_art/306</t>
  </si>
  <si>
    <t>репост</t>
  </si>
  <si>
    <t xml:space="preserve">репост </t>
  </si>
  <si>
    <t>https://t.me/algoses/594</t>
  </si>
  <si>
    <t>https://tgstat.ru/channel/@matesha_shad/373</t>
  </si>
  <si>
    <t>https://t.me/zadachi_ds/389</t>
  </si>
  <si>
    <t>пост</t>
  </si>
  <si>
    <t>График подписчиков</t>
  </si>
  <si>
    <t>кол-во подписчкиво</t>
  </si>
  <si>
    <t>дельта (ежедневное изменение)</t>
  </si>
  <si>
    <t>Пики</t>
  </si>
  <si>
    <t>Сумма продаж за день</t>
  </si>
  <si>
    <t>Статус</t>
  </si>
  <si>
    <t>https://tgstat.ru/channel/@zadachi_ds/392</t>
  </si>
  <si>
    <t>https://tgstat.ru/channel/@zadachi_ds/391</t>
  </si>
  <si>
    <t>удален 2 сен</t>
  </si>
  <si>
    <t>удален 27 авг</t>
  </si>
  <si>
    <t>Важные сведения</t>
  </si>
  <si>
    <t>Покупатели</t>
  </si>
  <si>
    <t>Медианная цена</t>
  </si>
  <si>
    <t xml:space="preserve">Видны три всплеска: 8–10 августа (пик 9 августа, ~524 тыс. ₽), 22–24 августа (пик 23 августа, ~394 тыс. ₽) и 4–6 сентября (пик 5 сентября, ~485 тыс. ₽). Вся выручка за период — около 5,9 млн ₽. </t>
  </si>
  <si>
    <t>Вывод по графику: Обычно канал получает от +10 до +60 подписчиков в день. Пики: 10 августа (+119), 14 августа (+121), 26 и 30 августа (+82, +86), 8 сентября (+87). 15 августа прирост был −15, то есть отписок оказалось больше, чем подписок.
Главное: пики подписчиков не совпадают с пиками продаж, корреляция ≈ 0 даже со сдвигом до недели. Похоже, покупает уже существующая аудитория канала (~43 тыс.), а новые подписчики сразу не покупают. Проверить это нельзя, потому что мы не знаем, когда покупатель подписался.</t>
  </si>
  <si>
    <t>• 8–10 августа: 35 → 68 → 29 покупателей при норме ~6, а цена упала с ~8 500–9 700 до ~5 000 ₽. Это похоже на скидку на курсы линейки «старт» (ML про при этом не дешевел). В тот же день было 9 внешних упоминаний канала и появились новые курсы, так что вклад каждого фактора разделить нельзя.
 • 22–24 августа: 26 → 39 → 19 покупателей, цена обычная. Совпадает с первыми продажами курса «AI агенты», вероятно это запуск.
 • 4–6 сентября: 26 → 48 → 45 покупателей, цена обычная. 5 сентября много продаж ML про. Причина пока неизвестна, нужно искать пост или акцию.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</si>
</sst>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1" applyFont="1" applyFill="1" applyAlignment="1">
      <alignment horizontal="center" vertical="center"/>
    </xf>
    <xf numFmtId="4" fontId="0" fillId="0" borderId="0" xfId="1" applyNumberFormat="1" applyFon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4" fontId="0" fillId="0" borderId="0" xfId="0" applyNumberFormat="1"/>
    <xf numFmtId="0" fontId="0" fillId="0" borderId="0" xfId="0" applyFill="1" applyAlignment="1">
      <alignment horizontal="left"/>
    </xf>
    <xf numFmtId="4" fontId="0" fillId="0" borderId="0" xfId="0" applyNumberFormat="1" applyFill="1"/>
    <xf numFmtId="0" fontId="0" fillId="0" borderId="0" xfId="0" applyFill="1"/>
    <xf numFmtId="16" fontId="0" fillId="0" borderId="0" xfId="0" applyNumberFormat="1"/>
    <xf numFmtId="0" fontId="0" fillId="0" borderId="0" xfId="0" applyNumberFormat="1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2"/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Normal" xfId="1" xr:uid="{00000000-0005-0000-0000-000000000000}"/>
  </cellStyles>
  <dxfs count="8">
    <dxf>
      <numFmt numFmtId="19" formatCode="dd/mm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Продаж каждый день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'Сумма Продаж Каждый День'!$A$3:$A$40</c:f>
              <c:strCache>
                <c:ptCount val="38"/>
                <c:pt idx="0">
                  <c:v>04.авг</c:v>
                </c:pt>
                <c:pt idx="1">
                  <c:v>05.авг</c:v>
                </c:pt>
                <c:pt idx="2">
                  <c:v>06.авг</c:v>
                </c:pt>
                <c:pt idx="3">
                  <c:v>07.авг</c:v>
                </c:pt>
                <c:pt idx="4">
                  <c:v>08.авг</c:v>
                </c:pt>
                <c:pt idx="5">
                  <c:v>09.авг</c:v>
                </c:pt>
                <c:pt idx="6">
                  <c:v>10.авг</c:v>
                </c:pt>
                <c:pt idx="7">
                  <c:v>11.авг</c:v>
                </c:pt>
                <c:pt idx="8">
                  <c:v>12.авг</c:v>
                </c:pt>
                <c:pt idx="9">
                  <c:v>13.авг</c:v>
                </c:pt>
                <c:pt idx="10">
                  <c:v>14.авг</c:v>
                </c:pt>
                <c:pt idx="11">
                  <c:v>15.авг</c:v>
                </c:pt>
                <c:pt idx="12">
                  <c:v>16.авг</c:v>
                </c:pt>
                <c:pt idx="13">
                  <c:v>17.авг</c:v>
                </c:pt>
                <c:pt idx="14">
                  <c:v>18.авг</c:v>
                </c:pt>
                <c:pt idx="15">
                  <c:v>19.авг</c:v>
                </c:pt>
                <c:pt idx="16">
                  <c:v>20.авг</c:v>
                </c:pt>
                <c:pt idx="17">
                  <c:v>21.авг</c:v>
                </c:pt>
                <c:pt idx="18">
                  <c:v>22.авг</c:v>
                </c:pt>
                <c:pt idx="19">
                  <c:v>23.авг</c:v>
                </c:pt>
                <c:pt idx="20">
                  <c:v>24.авг</c:v>
                </c:pt>
                <c:pt idx="21">
                  <c:v>25.авг</c:v>
                </c:pt>
                <c:pt idx="22">
                  <c:v>26.авг</c:v>
                </c:pt>
                <c:pt idx="23">
                  <c:v>27.авг</c:v>
                </c:pt>
                <c:pt idx="24">
                  <c:v>28.авг</c:v>
                </c:pt>
                <c:pt idx="25">
                  <c:v>29.авг</c:v>
                </c:pt>
                <c:pt idx="26">
                  <c:v>30.авг</c:v>
                </c:pt>
                <c:pt idx="27">
                  <c:v>31.авг</c:v>
                </c:pt>
                <c:pt idx="28">
                  <c:v>01.сент</c:v>
                </c:pt>
                <c:pt idx="29">
                  <c:v>02.сент</c:v>
                </c:pt>
                <c:pt idx="30">
                  <c:v>03.сент</c:v>
                </c:pt>
                <c:pt idx="31">
                  <c:v>04.сент</c:v>
                </c:pt>
                <c:pt idx="32">
                  <c:v>05.сент</c:v>
                </c:pt>
                <c:pt idx="33">
                  <c:v>06.сент</c:v>
                </c:pt>
                <c:pt idx="34">
                  <c:v>07.сент</c:v>
                </c:pt>
                <c:pt idx="35">
                  <c:v>08.сент</c:v>
                </c:pt>
                <c:pt idx="36">
                  <c:v>09.сент</c:v>
                </c:pt>
                <c:pt idx="37">
                  <c:v>10.сент</c:v>
                </c:pt>
              </c:strCache>
            </c:strRef>
          </c:cat>
          <c:val>
            <c:numRef>
              <c:f>'Сумма Продаж Каждый День'!$B$3:$B$40</c:f>
              <c:numCache>
                <c:formatCode>#,##0.00</c:formatCode>
                <c:ptCount val="38"/>
                <c:pt idx="0">
                  <c:v>84130</c:v>
                </c:pt>
                <c:pt idx="1">
                  <c:v>67110</c:v>
                </c:pt>
                <c:pt idx="2">
                  <c:v>62445</c:v>
                </c:pt>
                <c:pt idx="3">
                  <c:v>54995</c:v>
                </c:pt>
                <c:pt idx="4">
                  <c:v>275015</c:v>
                </c:pt>
                <c:pt idx="5">
                  <c:v>524091.67</c:v>
                </c:pt>
                <c:pt idx="6">
                  <c:v>205590</c:v>
                </c:pt>
                <c:pt idx="7">
                  <c:v>96330</c:v>
                </c:pt>
                <c:pt idx="8">
                  <c:v>114930</c:v>
                </c:pt>
                <c:pt idx="9">
                  <c:v>72810</c:v>
                </c:pt>
                <c:pt idx="10">
                  <c:v>76690</c:v>
                </c:pt>
                <c:pt idx="11">
                  <c:v>48345</c:v>
                </c:pt>
                <c:pt idx="12">
                  <c:v>43085</c:v>
                </c:pt>
                <c:pt idx="13">
                  <c:v>33185</c:v>
                </c:pt>
                <c:pt idx="14">
                  <c:v>61110</c:v>
                </c:pt>
                <c:pt idx="15">
                  <c:v>56380</c:v>
                </c:pt>
                <c:pt idx="16">
                  <c:v>52585</c:v>
                </c:pt>
                <c:pt idx="17">
                  <c:v>28145</c:v>
                </c:pt>
                <c:pt idx="18">
                  <c:v>251150</c:v>
                </c:pt>
                <c:pt idx="19">
                  <c:v>394495</c:v>
                </c:pt>
                <c:pt idx="20">
                  <c:v>184073</c:v>
                </c:pt>
                <c:pt idx="21">
                  <c:v>141650</c:v>
                </c:pt>
                <c:pt idx="22">
                  <c:v>84075</c:v>
                </c:pt>
                <c:pt idx="23">
                  <c:v>137425</c:v>
                </c:pt>
                <c:pt idx="24">
                  <c:v>60200</c:v>
                </c:pt>
                <c:pt idx="25">
                  <c:v>95525</c:v>
                </c:pt>
                <c:pt idx="26">
                  <c:v>176340</c:v>
                </c:pt>
                <c:pt idx="27">
                  <c:v>206188</c:v>
                </c:pt>
                <c:pt idx="28">
                  <c:v>226880</c:v>
                </c:pt>
                <c:pt idx="29">
                  <c:v>217280</c:v>
                </c:pt>
                <c:pt idx="30">
                  <c:v>180400</c:v>
                </c:pt>
                <c:pt idx="31">
                  <c:v>269585</c:v>
                </c:pt>
                <c:pt idx="32">
                  <c:v>484684</c:v>
                </c:pt>
                <c:pt idx="33">
                  <c:v>396075</c:v>
                </c:pt>
                <c:pt idx="34">
                  <c:v>173375</c:v>
                </c:pt>
                <c:pt idx="35">
                  <c:v>64750</c:v>
                </c:pt>
                <c:pt idx="36">
                  <c:v>193600</c:v>
                </c:pt>
                <c:pt idx="37">
                  <c:v>9950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2-CC45-B543-BF5327C2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368959"/>
        <c:axId val="526562432"/>
      </c:lineChart>
      <c:catAx>
        <c:axId val="11603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562432"/>
        <c:crosses val="autoZero"/>
        <c:auto val="1"/>
        <c:lblAlgn val="ctr"/>
        <c:lblOffset val="100"/>
        <c:noMultiLvlLbl val="0"/>
      </c:catAx>
      <c:valAx>
        <c:axId val="52656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36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'Кол-Во Подписчиков'!$A$2:$A$42</c:f>
              <c:numCache>
                <c:formatCode>m/d/yy</c:formatCode>
                <c:ptCount val="4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  <c:pt idx="31">
                  <c:v>46266</c:v>
                </c:pt>
                <c:pt idx="32">
                  <c:v>46267</c:v>
                </c:pt>
                <c:pt idx="33">
                  <c:v>46268</c:v>
                </c:pt>
                <c:pt idx="34">
                  <c:v>46269</c:v>
                </c:pt>
                <c:pt idx="35">
                  <c:v>46270</c:v>
                </c:pt>
                <c:pt idx="36">
                  <c:v>46271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</c:numCache>
            </c:numRef>
          </c:cat>
          <c:val>
            <c:numRef>
              <c:f>'Кол-Во Подписчиков'!$C$2:$C$42</c:f>
              <c:numCache>
                <c:formatCode>#,##0</c:formatCode>
                <c:ptCount val="41"/>
                <c:pt idx="0" formatCode="General">
                  <c:v>0</c:v>
                </c:pt>
                <c:pt idx="1">
                  <c:v>18</c:v>
                </c:pt>
                <c:pt idx="2">
                  <c:v>31</c:v>
                </c:pt>
                <c:pt idx="3">
                  <c:v>11</c:v>
                </c:pt>
                <c:pt idx="4">
                  <c:v>18</c:v>
                </c:pt>
                <c:pt idx="5">
                  <c:v>17</c:v>
                </c:pt>
                <c:pt idx="6">
                  <c:v>9</c:v>
                </c:pt>
                <c:pt idx="7">
                  <c:v>42</c:v>
                </c:pt>
                <c:pt idx="8">
                  <c:v>30</c:v>
                </c:pt>
                <c:pt idx="9">
                  <c:v>119</c:v>
                </c:pt>
                <c:pt idx="10">
                  <c:v>24</c:v>
                </c:pt>
                <c:pt idx="11">
                  <c:v>48</c:v>
                </c:pt>
                <c:pt idx="12">
                  <c:v>37</c:v>
                </c:pt>
                <c:pt idx="13">
                  <c:v>121</c:v>
                </c:pt>
                <c:pt idx="14">
                  <c:v>-15</c:v>
                </c:pt>
                <c:pt idx="15">
                  <c:v>33</c:v>
                </c:pt>
                <c:pt idx="16">
                  <c:v>24</c:v>
                </c:pt>
                <c:pt idx="17">
                  <c:v>26</c:v>
                </c:pt>
                <c:pt idx="18">
                  <c:v>68</c:v>
                </c:pt>
                <c:pt idx="19">
                  <c:v>29</c:v>
                </c:pt>
                <c:pt idx="20">
                  <c:v>52</c:v>
                </c:pt>
                <c:pt idx="21">
                  <c:v>67</c:v>
                </c:pt>
                <c:pt idx="22">
                  <c:v>34</c:v>
                </c:pt>
                <c:pt idx="23">
                  <c:v>45</c:v>
                </c:pt>
                <c:pt idx="24">
                  <c:v>13</c:v>
                </c:pt>
                <c:pt idx="25">
                  <c:v>82</c:v>
                </c:pt>
                <c:pt idx="26">
                  <c:v>24</c:v>
                </c:pt>
                <c:pt idx="27">
                  <c:v>48</c:v>
                </c:pt>
                <c:pt idx="28">
                  <c:v>70</c:v>
                </c:pt>
                <c:pt idx="29">
                  <c:v>86</c:v>
                </c:pt>
                <c:pt idx="30">
                  <c:v>52</c:v>
                </c:pt>
                <c:pt idx="31">
                  <c:v>49</c:v>
                </c:pt>
                <c:pt idx="32">
                  <c:v>57</c:v>
                </c:pt>
                <c:pt idx="33">
                  <c:v>55</c:v>
                </c:pt>
                <c:pt idx="34">
                  <c:v>52</c:v>
                </c:pt>
                <c:pt idx="35">
                  <c:v>32</c:v>
                </c:pt>
                <c:pt idx="36">
                  <c:v>17</c:v>
                </c:pt>
                <c:pt idx="37">
                  <c:v>37</c:v>
                </c:pt>
                <c:pt idx="38">
                  <c:v>87</c:v>
                </c:pt>
                <c:pt idx="39">
                  <c:v>54</c:v>
                </c:pt>
                <c:pt idx="40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2-644D-825D-DF3EDCC08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510912"/>
        <c:axId val="1399073728"/>
      </c:lineChart>
      <c:dateAx>
        <c:axId val="9495109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9073728"/>
        <c:crosses val="autoZero"/>
        <c:auto val="1"/>
        <c:lblOffset val="100"/>
        <c:baseTimeUnit val="days"/>
      </c:dateAx>
      <c:valAx>
        <c:axId val="13990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51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График</a:t>
            </a:r>
            <a:r>
              <a:rPr lang="ru-RU" baseline="0"/>
              <a:t> Покуп и Мед Цены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'Покупатели и Медиан цена'!$B$1</c:f>
              <c:strCache>
                <c:ptCount val="1"/>
                <c:pt idx="0">
                  <c:v>Покупатели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'Покупатели и Медиан цена'!$A$2:$A$38</c:f>
              <c:numCache>
                <c:formatCode>m/d/yy</c:formatCode>
                <c:ptCount val="37"/>
                <c:pt idx="0">
                  <c:v>46238</c:v>
                </c:pt>
                <c:pt idx="1">
                  <c:v>46239</c:v>
                </c:pt>
                <c:pt idx="2">
                  <c:v>46240</c:v>
                </c:pt>
                <c:pt idx="3">
                  <c:v>46241</c:v>
                </c:pt>
                <c:pt idx="4">
                  <c:v>46242</c:v>
                </c:pt>
                <c:pt idx="5">
                  <c:v>46243</c:v>
                </c:pt>
                <c:pt idx="6">
                  <c:v>46244</c:v>
                </c:pt>
                <c:pt idx="7">
                  <c:v>46245</c:v>
                </c:pt>
                <c:pt idx="8">
                  <c:v>46246</c:v>
                </c:pt>
                <c:pt idx="9">
                  <c:v>46247</c:v>
                </c:pt>
                <c:pt idx="10">
                  <c:v>46248</c:v>
                </c:pt>
                <c:pt idx="11">
                  <c:v>46249</c:v>
                </c:pt>
                <c:pt idx="12">
                  <c:v>46250</c:v>
                </c:pt>
                <c:pt idx="13">
                  <c:v>46251</c:v>
                </c:pt>
                <c:pt idx="14">
                  <c:v>46252</c:v>
                </c:pt>
                <c:pt idx="15">
                  <c:v>46253</c:v>
                </c:pt>
                <c:pt idx="16">
                  <c:v>46254</c:v>
                </c:pt>
                <c:pt idx="17">
                  <c:v>46255</c:v>
                </c:pt>
                <c:pt idx="18">
                  <c:v>46256</c:v>
                </c:pt>
                <c:pt idx="19">
                  <c:v>46257</c:v>
                </c:pt>
                <c:pt idx="20">
                  <c:v>46258</c:v>
                </c:pt>
                <c:pt idx="21">
                  <c:v>46259</c:v>
                </c:pt>
                <c:pt idx="22">
                  <c:v>46260</c:v>
                </c:pt>
                <c:pt idx="23">
                  <c:v>46261</c:v>
                </c:pt>
                <c:pt idx="24">
                  <c:v>46262</c:v>
                </c:pt>
                <c:pt idx="25">
                  <c:v>46263</c:v>
                </c:pt>
                <c:pt idx="26">
                  <c:v>46264</c:v>
                </c:pt>
                <c:pt idx="27">
                  <c:v>46265</c:v>
                </c:pt>
                <c:pt idx="28">
                  <c:v>46266</c:v>
                </c:pt>
                <c:pt idx="29">
                  <c:v>46267</c:v>
                </c:pt>
                <c:pt idx="30">
                  <c:v>46268</c:v>
                </c:pt>
                <c:pt idx="31">
                  <c:v>46269</c:v>
                </c:pt>
                <c:pt idx="32">
                  <c:v>46270</c:v>
                </c:pt>
                <c:pt idx="33">
                  <c:v>46271</c:v>
                </c:pt>
                <c:pt idx="34">
                  <c:v>46272</c:v>
                </c:pt>
                <c:pt idx="35">
                  <c:v>46273</c:v>
                </c:pt>
                <c:pt idx="36">
                  <c:v>46274</c:v>
                </c:pt>
              </c:numCache>
            </c:numRef>
          </c:cat>
          <c:val>
            <c:numRef>
              <c:f>'Покупатели и Медиан цена'!$B$2:$B$38</c:f>
              <c:numCache>
                <c:formatCode>General</c:formatCode>
                <c:ptCount val="37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35</c:v>
                </c:pt>
                <c:pt idx="5">
                  <c:v>68</c:v>
                </c:pt>
                <c:pt idx="6">
                  <c:v>29</c:v>
                </c:pt>
                <c:pt idx="7">
                  <c:v>12</c:v>
                </c:pt>
                <c:pt idx="8">
                  <c:v>14</c:v>
                </c:pt>
                <c:pt idx="9">
                  <c:v>9</c:v>
                </c:pt>
                <c:pt idx="10">
                  <c:v>9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8">
                  <c:v>26</c:v>
                </c:pt>
                <c:pt idx="19">
                  <c:v>39</c:v>
                </c:pt>
                <c:pt idx="20">
                  <c:v>19</c:v>
                </c:pt>
                <c:pt idx="21">
                  <c:v>15</c:v>
                </c:pt>
                <c:pt idx="22">
                  <c:v>9</c:v>
                </c:pt>
                <c:pt idx="23">
                  <c:v>10</c:v>
                </c:pt>
                <c:pt idx="24">
                  <c:v>6</c:v>
                </c:pt>
                <c:pt idx="25">
                  <c:v>10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23</c:v>
                </c:pt>
                <c:pt idx="30">
                  <c:v>20</c:v>
                </c:pt>
                <c:pt idx="31">
                  <c:v>26</c:v>
                </c:pt>
                <c:pt idx="32">
                  <c:v>48</c:v>
                </c:pt>
                <c:pt idx="33">
                  <c:v>45</c:v>
                </c:pt>
                <c:pt idx="34">
                  <c:v>17</c:v>
                </c:pt>
                <c:pt idx="35">
                  <c:v>6</c:v>
                </c:pt>
                <c:pt idx="3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1-B04A-9A7C-36F6A081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160768447"/>
        <c:axId val="1160765759"/>
      </c:barChart>
      <c:lineChart>
        <c:grouping val="standard"/>
        <c:varyColors val="0"/>
        <c:ser>
          <c:idx val="1"/>
          <c:order val="1"/>
          <c:tx>
            <c:strRef>
              <c:f>'Покупатели и Медиан цена'!$C$1</c:f>
              <c:strCache>
                <c:ptCount val="1"/>
                <c:pt idx="0">
                  <c:v>Медианная цена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'Покупатели и Медиан цена'!$A$2:$A$38</c:f>
              <c:numCache>
                <c:formatCode>m/d/yy</c:formatCode>
                <c:ptCount val="37"/>
                <c:pt idx="0">
                  <c:v>46238</c:v>
                </c:pt>
                <c:pt idx="1">
                  <c:v>46239</c:v>
                </c:pt>
                <c:pt idx="2">
                  <c:v>46240</c:v>
                </c:pt>
                <c:pt idx="3">
                  <c:v>46241</c:v>
                </c:pt>
                <c:pt idx="4">
                  <c:v>46242</c:v>
                </c:pt>
                <c:pt idx="5">
                  <c:v>46243</c:v>
                </c:pt>
                <c:pt idx="6">
                  <c:v>46244</c:v>
                </c:pt>
                <c:pt idx="7">
                  <c:v>46245</c:v>
                </c:pt>
                <c:pt idx="8">
                  <c:v>46246</c:v>
                </c:pt>
                <c:pt idx="9">
                  <c:v>46247</c:v>
                </c:pt>
                <c:pt idx="10">
                  <c:v>46248</c:v>
                </c:pt>
                <c:pt idx="11">
                  <c:v>46249</c:v>
                </c:pt>
                <c:pt idx="12">
                  <c:v>46250</c:v>
                </c:pt>
                <c:pt idx="13">
                  <c:v>46251</c:v>
                </c:pt>
                <c:pt idx="14">
                  <c:v>46252</c:v>
                </c:pt>
                <c:pt idx="15">
                  <c:v>46253</c:v>
                </c:pt>
                <c:pt idx="16">
                  <c:v>46254</c:v>
                </c:pt>
                <c:pt idx="17">
                  <c:v>46255</c:v>
                </c:pt>
                <c:pt idx="18">
                  <c:v>46256</c:v>
                </c:pt>
                <c:pt idx="19">
                  <c:v>46257</c:v>
                </c:pt>
                <c:pt idx="20">
                  <c:v>46258</c:v>
                </c:pt>
                <c:pt idx="21">
                  <c:v>46259</c:v>
                </c:pt>
                <c:pt idx="22">
                  <c:v>46260</c:v>
                </c:pt>
                <c:pt idx="23">
                  <c:v>46261</c:v>
                </c:pt>
                <c:pt idx="24">
                  <c:v>46262</c:v>
                </c:pt>
                <c:pt idx="25">
                  <c:v>46263</c:v>
                </c:pt>
                <c:pt idx="26">
                  <c:v>46264</c:v>
                </c:pt>
                <c:pt idx="27">
                  <c:v>46265</c:v>
                </c:pt>
                <c:pt idx="28">
                  <c:v>46266</c:v>
                </c:pt>
                <c:pt idx="29">
                  <c:v>46267</c:v>
                </c:pt>
                <c:pt idx="30">
                  <c:v>46268</c:v>
                </c:pt>
                <c:pt idx="31">
                  <c:v>46269</c:v>
                </c:pt>
                <c:pt idx="32">
                  <c:v>46270</c:v>
                </c:pt>
                <c:pt idx="33">
                  <c:v>46271</c:v>
                </c:pt>
                <c:pt idx="34">
                  <c:v>46272</c:v>
                </c:pt>
                <c:pt idx="35">
                  <c:v>46273</c:v>
                </c:pt>
                <c:pt idx="36">
                  <c:v>46274</c:v>
                </c:pt>
              </c:numCache>
            </c:numRef>
          </c:cat>
          <c:val>
            <c:numRef>
              <c:f>'Покупатели и Медиан цена'!$C$2:$C$38</c:f>
              <c:numCache>
                <c:formatCode>General</c:formatCode>
                <c:ptCount val="37"/>
                <c:pt idx="0">
                  <c:v>8475</c:v>
                </c:pt>
                <c:pt idx="1">
                  <c:v>8475</c:v>
                </c:pt>
                <c:pt idx="2">
                  <c:v>9097.5</c:v>
                </c:pt>
                <c:pt idx="3">
                  <c:v>9700</c:v>
                </c:pt>
                <c:pt idx="4">
                  <c:v>4995</c:v>
                </c:pt>
                <c:pt idx="5">
                  <c:v>4995</c:v>
                </c:pt>
                <c:pt idx="6">
                  <c:v>4972.5</c:v>
                </c:pt>
                <c:pt idx="7">
                  <c:v>4950</c:v>
                </c:pt>
                <c:pt idx="8">
                  <c:v>6490</c:v>
                </c:pt>
                <c:pt idx="9">
                  <c:v>8745</c:v>
                </c:pt>
                <c:pt idx="10">
                  <c:v>7712.5</c:v>
                </c:pt>
                <c:pt idx="11">
                  <c:v>8475</c:v>
                </c:pt>
                <c:pt idx="12">
                  <c:v>7847.5</c:v>
                </c:pt>
                <c:pt idx="13">
                  <c:v>8745</c:v>
                </c:pt>
                <c:pt idx="14">
                  <c:v>8745</c:v>
                </c:pt>
                <c:pt idx="15">
                  <c:v>8245</c:v>
                </c:pt>
                <c:pt idx="16">
                  <c:v>8745</c:v>
                </c:pt>
                <c:pt idx="17">
                  <c:v>9950</c:v>
                </c:pt>
                <c:pt idx="18">
                  <c:v>7475</c:v>
                </c:pt>
                <c:pt idx="19">
                  <c:v>8000</c:v>
                </c:pt>
                <c:pt idx="20">
                  <c:v>8676.5</c:v>
                </c:pt>
                <c:pt idx="21">
                  <c:v>7475</c:v>
                </c:pt>
                <c:pt idx="22">
                  <c:v>8700</c:v>
                </c:pt>
                <c:pt idx="23">
                  <c:v>7468.75</c:v>
                </c:pt>
                <c:pt idx="24">
                  <c:v>8950</c:v>
                </c:pt>
                <c:pt idx="25">
                  <c:v>7475</c:v>
                </c:pt>
                <c:pt idx="26">
                  <c:v>8450</c:v>
                </c:pt>
                <c:pt idx="27">
                  <c:v>8450</c:v>
                </c:pt>
                <c:pt idx="28">
                  <c:v>8245</c:v>
                </c:pt>
                <c:pt idx="29">
                  <c:v>8347.5</c:v>
                </c:pt>
                <c:pt idx="30">
                  <c:v>8450</c:v>
                </c:pt>
                <c:pt idx="31">
                  <c:v>7475</c:v>
                </c:pt>
                <c:pt idx="32">
                  <c:v>8450</c:v>
                </c:pt>
                <c:pt idx="33">
                  <c:v>7475</c:v>
                </c:pt>
                <c:pt idx="34">
                  <c:v>8950</c:v>
                </c:pt>
                <c:pt idx="35">
                  <c:v>7500</c:v>
                </c:pt>
                <c:pt idx="36">
                  <c:v>7475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1-B04A-9A7C-36F6A081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009984"/>
        <c:axId val="522431424"/>
      </c:lineChart>
      <c:dateAx>
        <c:axId val="10920099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2431424"/>
        <c:crosses val="autoZero"/>
        <c:auto val="1"/>
        <c:lblOffset val="100"/>
        <c:baseTimeUnit val="days"/>
      </c:dateAx>
      <c:valAx>
        <c:axId val="52243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009984"/>
        <c:crosses val="autoZero"/>
        <c:crossBetween val="between"/>
      </c:valAx>
      <c:valAx>
        <c:axId val="11607657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768447"/>
        <c:crosses val="max"/>
        <c:crossBetween val="between"/>
      </c:valAx>
      <c:dateAx>
        <c:axId val="1160768447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160765759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2</xdr:row>
      <xdr:rowOff>0</xdr:rowOff>
    </xdr:from>
    <xdr:to>
      <xdr:col>24</xdr:col>
      <xdr:colOff>0</xdr:colOff>
      <xdr:row>20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7B5383-1B59-3E87-C769-FCAE2A86F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44</xdr:row>
      <xdr:rowOff>-1</xdr:rowOff>
    </xdr:from>
    <xdr:to>
      <xdr:col>17</xdr:col>
      <xdr:colOff>81936</xdr:colOff>
      <xdr:row>89</xdr:row>
      <xdr:rowOff>122903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03C495-06F6-FC7E-B026-CF1A0A6B2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0</xdr:rowOff>
    </xdr:from>
    <xdr:to>
      <xdr:col>17</xdr:col>
      <xdr:colOff>711200</xdr:colOff>
      <xdr:row>47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D68DBB-4287-A299-84C0-266115D10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кс Просто" refreshedDate="46276.850427314814" createdVersion="8" refreshedVersion="8" minRefreshableVersion="3" recordCount="795" xr:uid="{783D15E0-3D04-024A-870B-EF6C31D3E71B}">
  <cacheSource type="worksheet">
    <worksheetSource name="CaseDataTable"/>
  </cacheSource>
  <cacheFields count="6">
    <cacheField name="Номер студента" numFmtId="0">
      <sharedItems containsSemiMixedTypes="0" containsString="0" containsNumber="1" containsInteger="1" minValue="1" maxValue="606" count="60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</sharedItems>
    </cacheField>
    <cacheField name="Сумма" numFmtId="4">
      <sharedItems containsSemiMixedTypes="0" containsString="0" containsNumber="1" minValue="500" maxValue="19350" count="55">
        <n v="8950"/>
        <n v="5975"/>
        <n v="5750"/>
        <n v="8450"/>
        <n v="4950"/>
        <n v="4495"/>
        <n v="6975"/>
        <n v="6490"/>
        <n v="9950"/>
        <n v="7475"/>
        <n v="2237.5"/>
        <n v="8975"/>
        <n v="4995"/>
        <n v="8945"/>
        <n v="4225"/>
        <n v="6500"/>
        <n v="6475"/>
        <n v="6450"/>
        <n v="5463.33"/>
        <n v="5463.34"/>
        <n v="8745"/>
        <n v="7500"/>
        <n v="6950"/>
        <n v="8475"/>
        <n v="3245"/>
        <n v="9900"/>
        <n v="4475"/>
        <n v="7000"/>
        <n v="4700"/>
        <n v="6000"/>
        <n v="7462.5"/>
        <n v="7975"/>
        <n v="4725"/>
        <n v="8245"/>
        <n v="5990"/>
        <n v="10000"/>
        <n v="2875"/>
        <n v="9450"/>
        <n v="7450"/>
        <n v="4450"/>
        <n v="8545"/>
        <n v="5000"/>
        <n v="8503"/>
        <n v="8000"/>
        <n v="7890"/>
        <n v="1000"/>
        <n v="500"/>
        <n v="4500"/>
        <n v="15695"/>
        <n v="19350"/>
        <n v="8850"/>
        <n v="8959"/>
        <n v="7471.5"/>
        <n v="18900"/>
        <n v="8222.5"/>
      </sharedItems>
    </cacheField>
    <cacheField name="Курс" numFmtId="0">
      <sharedItems count="18">
        <s v="Аналитика старт"/>
        <s v="ML про"/>
        <s v="АВ тестам"/>
        <s v="AI агенты"/>
        <s v="Аналитика про"/>
        <s v="Backend старт"/>
        <s v="Алгоритмы"/>
        <s v="Backend про"/>
        <s v="ML старт"/>
        <s v="Алгоритмы старт"/>
        <s v="Алгоритмы про"/>
        <s v="Дискретка"/>
        <s v="Линейная алгебра"/>
        <s v="Мат анализ"/>
        <s v="Теория вероятностей"/>
        <s v="К ВУЗу"/>
        <s v="Data Engenering"/>
        <s v="Data Science"/>
      </sharedItems>
    </cacheField>
    <cacheField name="Время" numFmtId="164">
      <sharedItems containsSemiMixedTypes="0" containsNonDate="0" containsDate="1" containsString="0" minDate="2026-08-04T09:08:31" maxDate="2026-09-10T06:09:12" count="627">
        <d v="2026-09-04T19:30:57"/>
        <d v="2026-09-05T16:22:48"/>
        <d v="2026-09-03T22:47:02"/>
        <d v="2026-08-31T15:42:34"/>
        <d v="2026-08-22T16:19:00"/>
        <d v="2026-09-02T19:16:28"/>
        <d v="2026-08-08T14:07:56"/>
        <d v="2026-08-08T16:25:39"/>
        <d v="2026-09-03T14:55:45"/>
        <d v="2026-09-06T16:25:37"/>
        <d v="2026-08-27T20:09:27"/>
        <d v="2026-08-09T16:52:01"/>
        <d v="2026-09-07T07:54:24"/>
        <d v="2026-08-30T23:52:21"/>
        <d v="2026-09-04T15:26:00"/>
        <d v="2026-08-10T16:56:42"/>
        <d v="2026-08-22T17:01:20"/>
        <d v="2026-09-05T14:29:29"/>
        <d v="2026-08-09T11:01:50"/>
        <d v="2026-09-06T11:07:00"/>
        <d v="2026-08-10T16:29:36"/>
        <d v="2026-09-06T14:41:56"/>
        <d v="2026-09-06T15:39:44"/>
        <d v="2026-09-05T18:23:21"/>
        <d v="2026-08-30T18:34:15"/>
        <d v="2026-08-08T09:23:01"/>
        <d v="2026-08-31T14:03:44"/>
        <d v="2026-08-29T14:47:39"/>
        <d v="2026-09-04T15:15:34"/>
        <d v="2026-08-28T18:20:56"/>
        <d v="2026-08-23T10:06:51"/>
        <d v="2026-09-05T11:00:21"/>
        <d v="2026-08-09T04:36:11"/>
        <d v="2026-08-08T16:26:36"/>
        <d v="2026-09-01T17:23:37"/>
        <d v="2026-09-02T22:38:59"/>
        <d v="2026-09-09T19:26:20"/>
        <d v="2026-09-02T04:13:14"/>
        <d v="2026-08-09T12:15:31"/>
        <d v="2026-08-27T17:02:28"/>
        <d v="2026-08-09T16:36:02"/>
        <d v="2026-08-12T10:22:39"/>
        <d v="2026-09-06T11:42:46"/>
        <d v="2026-09-05T07:16:30"/>
        <d v="2026-09-06T12:29:18"/>
        <d v="2026-08-14T10:04:52"/>
        <d v="2026-08-12T05:13:04"/>
        <d v="2026-08-08T12:24:55"/>
        <d v="2026-09-05T14:24:29"/>
        <d v="2026-09-06T14:51:02"/>
        <d v="2026-09-02T10:32:55"/>
        <d v="2026-09-06T15:46:24"/>
        <d v="2026-08-10T18:12:59"/>
        <d v="2026-08-09T13:57:35"/>
        <d v="2026-08-08T12:39:51"/>
        <d v="2026-09-06T15:35:13"/>
        <d v="2026-09-06T12:12:33"/>
        <d v="2026-08-10T00:14:10"/>
        <d v="2026-08-09T16:12:46"/>
        <d v="2026-09-06T13:32:21"/>
        <d v="2026-09-05T19:44:33"/>
        <d v="2026-08-27T19:44:33"/>
        <d v="2026-08-09T18:47:09"/>
        <d v="2026-08-09T19:29:08"/>
        <d v="2026-09-07T05:24:57"/>
        <d v="2026-08-09T14:45:05"/>
        <d v="2026-08-09T18:45:20"/>
        <d v="2026-08-13T05:36:55"/>
        <d v="2026-08-10T18:01:06"/>
        <d v="2026-09-05T17:04:40"/>
        <d v="2026-09-08T17:53:12"/>
        <d v="2026-08-22T04:22:43"/>
        <d v="2026-08-18T19:10:04"/>
        <d v="2026-08-23T14:57:08"/>
        <d v="2026-09-07T19:19:58"/>
        <d v="2026-08-08T20:05:40"/>
        <d v="2026-09-06T10:34:28"/>
        <d v="2026-08-18T18:53:33"/>
        <d v="2026-08-30T14:48:44"/>
        <d v="2026-08-31T17:54:30"/>
        <d v="2026-09-08T05:10:30"/>
        <d v="2026-08-14T04:09:52"/>
        <d v="2026-09-09T04:53:08"/>
        <d v="2026-08-30T13:44:26"/>
        <d v="2026-08-11T12:46:14"/>
        <d v="2026-08-10T07:52:44"/>
        <d v="2026-08-09T19:07:32"/>
        <d v="2026-08-24T15:57:32"/>
        <d v="2026-08-10T16:16:30"/>
        <d v="2026-08-22T13:23:20"/>
        <d v="2026-09-01T19:27:16"/>
        <d v="2026-08-09T10:44:19"/>
        <d v="2026-08-31T01:05:18"/>
        <d v="2026-08-24T00:44:40"/>
        <d v="2026-08-21T15:14:39"/>
        <d v="2026-08-10T05:56:12"/>
        <d v="2026-09-04T18:49:47"/>
        <d v="2026-08-23T19:08:11"/>
        <d v="2026-08-09T16:21:43"/>
        <d v="2026-09-06T17:27:55"/>
        <d v="2026-08-23T14:14:48"/>
        <d v="2026-08-29T19:35:36"/>
        <d v="2026-09-07T09:30:42"/>
        <d v="2026-08-20T17:34:00"/>
        <d v="2026-09-07T12:59:48"/>
        <d v="2026-08-09T18:46:42"/>
        <d v="2026-08-23T21:00:30"/>
        <d v="2026-09-06T11:55:22"/>
        <d v="2026-08-10T10:53:02"/>
        <d v="2026-08-23T18:28:17"/>
        <d v="2026-09-05T17:57:36"/>
        <d v="2026-09-07T10:27:06"/>
        <d v="2026-08-24T16:49:26"/>
        <d v="2026-08-11T18:41:42"/>
        <d v="2026-09-06T15:14:57"/>
        <d v="2026-09-01T19:16:56"/>
        <d v="2026-09-01T13:09:50"/>
        <d v="2026-08-25T10:01:02"/>
        <d v="2026-09-05T12:34:35"/>
        <d v="2026-08-23T08:24:45"/>
        <d v="2026-09-07T11:34:36"/>
        <d v="2026-08-08T19:28:26"/>
        <d v="2026-08-25T11:38:56"/>
        <d v="2026-08-27T20:55:44"/>
        <d v="2026-09-09T16:23:01"/>
        <d v="2026-09-04T06:34:32"/>
        <d v="2026-09-07T08:46:37"/>
        <d v="2026-08-05T13:22:41"/>
        <d v="2026-09-05T17:27:41"/>
        <d v="2026-09-02T11:55:47"/>
        <d v="2026-08-09T10:56:45"/>
        <d v="2026-08-15T14:59:16"/>
        <d v="2026-08-04T17:05:46"/>
        <d v="2026-08-13T11:39:13"/>
        <d v="2026-08-16T09:59:37"/>
        <d v="2026-08-31T08:06:47"/>
        <d v="2026-08-08T20:00:19"/>
        <d v="2026-08-27T08:57:04"/>
        <d v="2026-08-05T15:01:16"/>
        <d v="2026-08-09T16:33:22"/>
        <d v="2026-08-25T12:39:08"/>
        <d v="2026-09-01T20:30:07"/>
        <d v="2026-08-25T16:01:50"/>
        <d v="2026-08-24T14:48:12"/>
        <d v="2026-08-11T15:49:13"/>
        <d v="2026-08-16T13:21:36"/>
        <d v="2026-08-29T11:51:08"/>
        <d v="2026-09-01T15:30:39"/>
        <d v="2026-08-30T13:06:05"/>
        <d v="2026-08-20T16:27:30"/>
        <d v="2026-09-05T19:46:01"/>
        <d v="2026-08-25T09:49:25"/>
        <d v="2026-08-23T16:50:14"/>
        <d v="2026-09-06T13:11:45"/>
        <d v="2026-09-06T11:31:11"/>
        <d v="2026-08-10T08:42:13"/>
        <d v="2026-08-13T18:30:59"/>
        <d v="2026-09-06T13:40:03"/>
        <d v="2026-09-05T10:20:56"/>
        <d v="2026-09-05T12:13:44"/>
        <d v="2026-08-22T10:54:14"/>
        <d v="2026-08-31T06:39:53"/>
        <d v="2026-08-10T12:37:30"/>
        <d v="2026-08-05T12:56:32"/>
        <d v="2026-08-09T02:39:44"/>
        <d v="2026-08-08T19:49:42"/>
        <d v="2026-08-15T12:51:04"/>
        <d v="2026-08-26T01:23:32"/>
        <d v="2026-08-10T13:08:15"/>
        <d v="2026-08-25T07:21:38"/>
        <d v="2026-08-06T12:15:46"/>
        <d v="2026-08-09T09:07:16"/>
        <d v="2026-08-25T06:26:04"/>
        <d v="2026-09-05T15:47:16"/>
        <d v="2026-08-12T17:51:00"/>
        <d v="2026-08-31T18:20:33"/>
        <d v="2026-08-23T16:29:57"/>
        <d v="2026-08-11T07:48:36"/>
        <d v="2026-09-05T18:41:16"/>
        <d v="2026-08-13T16:14:01"/>
        <d v="2026-08-09T16:29:58"/>
        <d v="2026-08-28T10:47:56"/>
        <d v="2026-08-26T09:15:13"/>
        <d v="2026-08-12T02:06:02"/>
        <d v="2026-09-06T16:23:30"/>
        <d v="2026-09-01T18:44:37"/>
        <d v="2026-09-02T10:14:11"/>
        <d v="2026-08-08T10:08:11"/>
        <d v="2026-08-09T17:20:07"/>
        <d v="2026-08-27T14:36:47"/>
        <d v="2026-08-10T06:13:10"/>
        <d v="2026-08-09T18:48:05"/>
        <d v="2026-09-06T01:03:43"/>
        <d v="2026-09-01T07:49:46"/>
        <d v="2026-09-09T02:52:43"/>
        <d v="2026-08-27T15:11:14"/>
        <d v="2026-08-24T15:05:04"/>
        <d v="2026-09-06T11:49:34"/>
        <d v="2026-08-24T16:25:21"/>
        <d v="2026-09-01T10:54:53"/>
        <d v="2026-09-10T06:09:12"/>
        <d v="2026-09-04T15:39:31"/>
        <d v="2026-09-04T16:44:57"/>
        <d v="2026-08-21T09:02:18"/>
        <d v="2026-08-22T19:40:16"/>
        <d v="2026-08-24T17:28:20"/>
        <d v="2026-08-25T19:24:14"/>
        <d v="2026-08-23T20:42:20"/>
        <d v="2026-09-07T13:39:13"/>
        <d v="2026-09-03T15:01:50"/>
        <d v="2026-08-09T13:00:12"/>
        <d v="2026-08-09T10:15:38"/>
        <d v="2026-08-13T19:25:17"/>
        <d v="2026-08-23T06:58:29"/>
        <d v="2026-09-05T17:12:38"/>
        <d v="2026-08-22T11:08:24"/>
        <d v="2026-09-09T15:03:44"/>
        <d v="2026-08-23T20:58:38"/>
        <d v="2026-09-07T14:02:50"/>
        <d v="2026-08-24T03:22:36"/>
        <d v="2026-08-23T18:13:18"/>
        <d v="2026-08-10T14:24:20"/>
        <d v="2026-08-22T09:03:23"/>
        <d v="2026-08-28T13:23:53"/>
        <d v="2026-08-22T19:19:35"/>
        <d v="2026-08-23T07:41:37"/>
        <d v="2026-08-05T18:52:56"/>
        <d v="2026-08-09T20:27:29"/>
        <d v="2026-09-09T08:55:28"/>
        <d v="2026-08-05T14:22:34"/>
        <d v="2026-09-01T17:03:44"/>
        <d v="2026-08-08T20:08:33"/>
        <d v="2026-08-09T19:02:28"/>
        <d v="2026-09-07T07:42:35"/>
        <d v="2026-08-14T04:19:44"/>
        <d v="2026-08-23T15:38:51"/>
        <d v="2026-09-03T15:07:18"/>
        <d v="2026-09-01T18:08:01"/>
        <d v="2026-08-09T10:47:20"/>
        <d v="2026-08-08T18:51:08"/>
        <d v="2026-08-12T06:04:03"/>
        <d v="2026-08-23T16:04:24"/>
        <d v="2026-08-29T05:27:29"/>
        <d v="2026-08-23T13:29:45"/>
        <d v="2026-09-05T13:28:56"/>
        <d v="2026-08-31T17:06:09"/>
        <d v="2026-08-22T18:00:15"/>
        <d v="2026-08-30T17:07:59"/>
        <d v="2026-08-29T13:44:52"/>
        <d v="2026-08-24T10:40:35"/>
        <d v="2026-09-02T10:24:40"/>
        <d v="2026-09-05T15:54:58"/>
        <d v="2026-09-07T16:45:55"/>
        <d v="2026-09-01T14:59:35"/>
        <d v="2026-08-22T13:43:42"/>
        <d v="2026-08-07T19:38:55"/>
        <d v="2026-09-05T14:54:24"/>
        <d v="2026-09-06T18:05:45"/>
        <d v="2026-09-03T16:36:15"/>
        <d v="2026-08-30T17:04:49"/>
        <d v="2026-09-07T14:53:39"/>
        <d v="2026-08-26T14:52:53"/>
        <d v="2026-08-08T17:54:37"/>
        <d v="2026-08-23T20:56:06"/>
        <d v="2026-08-10T15:03:03"/>
        <d v="2026-08-08T07:59:01"/>
        <d v="2026-08-12T05:32:11"/>
        <d v="2026-09-06T16:06:04"/>
        <d v="2026-08-09T09:10:55"/>
        <d v="2026-08-22T19:53:10"/>
        <d v="2026-08-25T03:19:38"/>
        <d v="2026-09-02T18:37:57"/>
        <d v="2026-08-08T16:25:28"/>
        <d v="2026-09-02T11:33:22"/>
        <d v="2026-08-31T08:26:17"/>
        <d v="2026-08-24T12:52:49"/>
        <d v="2026-08-25T22:26:03"/>
        <d v="2026-09-05T14:08:51"/>
        <d v="2026-09-03T12:55:50"/>
        <d v="2026-08-31T18:34:40"/>
        <d v="2026-09-03T08:17:51"/>
        <d v="2026-08-30T23:37:30"/>
        <d v="2026-08-13T09:51:23"/>
        <d v="2026-09-06T11:58:58"/>
        <d v="2026-08-15T12:43:23"/>
        <d v="2026-08-22T11:24:53"/>
        <d v="2026-09-06T17:31:06"/>
        <d v="2026-08-09T09:48:26"/>
        <d v="2026-08-05T16:37:02"/>
        <d v="2026-08-11T12:02:08"/>
        <d v="2026-08-09T18:55:57"/>
        <d v="2026-09-09T13:34:09"/>
        <d v="2026-08-30T11:56:49"/>
        <d v="2026-08-30T08:22:49"/>
        <d v="2026-08-09T16:16:39"/>
        <d v="2026-08-19T07:46:07"/>
        <d v="2026-09-02T08:57:12"/>
        <d v="2026-08-28T16:24:51"/>
        <d v="2026-08-23T16:53:02"/>
        <d v="2026-08-06T10:06:16"/>
        <d v="2026-09-06T12:59:39"/>
        <d v="2026-08-22T11:35:35"/>
        <d v="2026-08-06T10:39:31"/>
        <d v="2026-08-06T10:14:55"/>
        <d v="2026-09-01T10:46:43"/>
        <d v="2026-08-22T17:26:07"/>
        <d v="2026-08-23T18:48:14"/>
        <d v="2026-08-24T16:58:19"/>
        <d v="2026-09-06T17:58:00"/>
        <d v="2026-08-31T20:57:15"/>
        <d v="2026-09-04T15:20:47"/>
        <d v="2026-09-04T15:21:52"/>
        <d v="2026-08-11T15:52:40"/>
        <d v="2026-08-31T17:03:19"/>
        <d v="2026-09-06T16:18:59"/>
        <d v="2026-08-23T15:39:57"/>
        <d v="2026-08-08T14:05:17"/>
        <d v="2026-09-05T09:55:40"/>
        <d v="2026-09-06T16:38:02"/>
        <d v="2026-08-11T16:15:41"/>
        <d v="2026-08-23T09:59:13"/>
        <d v="2026-08-07T11:58:49"/>
        <d v="2026-08-28T18:44:36"/>
        <d v="2026-08-23T16:40:25"/>
        <d v="2026-08-14T12:59:02"/>
        <d v="2026-09-04T13:16:14"/>
        <d v="2026-09-03T17:23:38"/>
        <d v="2026-08-09T17:25:06"/>
        <d v="2026-08-08T19:54:31"/>
        <d v="2026-08-09T16:24:15"/>
        <d v="2026-08-28T14:03:47"/>
        <d v="2026-08-09T18:56:09"/>
        <d v="2026-08-31T19:22:31"/>
        <d v="2026-08-06T11:41:17"/>
        <d v="2026-09-04T10:55:46"/>
        <d v="2026-09-06T12:45:38"/>
        <d v="2026-09-05T10:58:26"/>
        <d v="2026-08-09T16:51:47"/>
        <d v="2026-09-03T15:10:16"/>
        <d v="2026-08-09T16:31:09"/>
        <d v="2026-08-12T06:44:05"/>
        <d v="2026-08-08T18:25:13"/>
        <d v="2026-08-07T11:16:14"/>
        <d v="2026-08-09T16:07:42"/>
        <d v="2026-08-09T13:48:41"/>
        <d v="2026-09-09T15:41:19"/>
        <d v="2026-08-23T06:47:37"/>
        <d v="2026-08-11T12:22:26"/>
        <d v="2026-08-29T09:29:52"/>
        <d v="2026-08-23T11:59:04"/>
        <d v="2026-08-13T09:48:34"/>
        <d v="2026-09-01T19:07:54"/>
        <d v="2026-09-06T14:48:52"/>
        <d v="2026-09-03T16:33:15"/>
        <d v="2026-08-18T10:15:05"/>
        <d v="2026-09-06T18:35:08"/>
        <d v="2026-08-12T19:17:21"/>
        <d v="2026-09-09T16:10:16"/>
        <d v="2026-09-05T18:12:55"/>
        <d v="2026-08-20T11:12:25"/>
        <d v="2026-09-03T16:22:06"/>
        <d v="2026-08-22T11:39:22"/>
        <d v="2026-09-04T13:47:25"/>
        <d v="2026-09-02T14:30:26"/>
        <d v="2026-08-09T13:48:05"/>
        <d v="2026-08-24T02:46:33"/>
        <d v="2026-09-09T06:30:33"/>
        <d v="2026-09-06T18:40:33"/>
        <d v="2026-08-23T20:57:22"/>
        <d v="2026-08-17T10:53:42"/>
        <d v="2026-09-05T14:52:23"/>
        <d v="2026-09-04T06:28:52"/>
        <d v="2026-08-13T00:01:02"/>
        <d v="2026-08-09T16:15:08"/>
        <d v="2026-09-06T15:18:37"/>
        <d v="2026-08-23T18:18:15"/>
        <d v="2026-08-24T14:21:10"/>
        <d v="2026-08-09T18:53:23"/>
        <d v="2026-08-08T14:10:35"/>
        <d v="2026-08-22T11:14:12"/>
        <d v="2026-08-09T17:17:09"/>
        <d v="2026-08-22T15:11:44"/>
        <d v="2026-08-22T18:58:36"/>
        <d v="2026-08-09T19:11:48"/>
        <d v="2026-09-04T14:19:28"/>
        <d v="2026-09-03T15:43:04"/>
        <d v="2026-09-05T19:24:12"/>
        <d v="2026-09-04T15:08:47"/>
        <d v="2026-09-04T11:44:55"/>
        <d v="2026-08-09T17:19:11"/>
        <d v="2026-09-09T14:46:43"/>
        <d v="2026-08-09T18:58:42"/>
        <d v="2026-09-04T14:11:02"/>
        <d v="2026-09-04T20:38:50"/>
        <d v="2026-09-02T14:17:34"/>
        <d v="2026-08-19T13:53:46"/>
        <d v="2026-08-31T09:09:41"/>
        <d v="2026-08-12T13:28:18"/>
        <d v="2026-08-09T10:18:12"/>
        <d v="2026-08-10T19:12:23"/>
        <d v="2026-09-01T02:23:30"/>
        <d v="2026-08-14T18:55:11"/>
        <d v="2026-08-20T13:14:17"/>
        <d v="2026-08-29T09:45:18"/>
        <d v="2026-09-05T10:17:43"/>
        <d v="2026-09-03T11:18:32"/>
        <d v="2026-09-06T19:15:37"/>
        <d v="2026-09-05T11:02:15"/>
        <d v="2026-09-05T18:06:36"/>
        <d v="2026-09-06T19:02:33"/>
        <d v="2026-08-09T16:12:09"/>
        <d v="2026-08-08T22:16:55"/>
        <d v="2026-08-09T17:25:40"/>
        <d v="2026-09-03T17:30:08"/>
        <d v="2026-08-31T10:18:44"/>
        <d v="2026-09-02T19:30:00"/>
        <d v="2026-09-05T14:29:26"/>
        <d v="2026-09-05T13:55:08"/>
        <d v="2026-09-09T23:11:20"/>
        <d v="2026-08-10T15:22:41"/>
        <d v="2026-09-03T21:58:56"/>
        <d v="2026-08-08T16:51:05"/>
        <d v="2026-08-30T11:21:33"/>
        <d v="2026-08-08T14:06:52"/>
        <d v="2026-08-18T19:40:47"/>
        <d v="2026-09-05T16:25:16"/>
        <d v="2026-08-09T04:51:42"/>
        <d v="2026-09-05T21:19:33"/>
        <d v="2026-08-11T10:51:54"/>
        <d v="2026-08-26T04:03:43"/>
        <d v="2026-09-02T10:06:52"/>
        <d v="2026-08-14T20:17:00"/>
        <d v="2026-08-08T20:25:37"/>
        <d v="2026-09-02T15:30:05"/>
        <d v="2026-09-01T12:44:58"/>
        <d v="2026-08-23T17:45:31"/>
        <d v="2026-08-24T07:03:39"/>
        <d v="2026-08-13T09:26:22"/>
        <d v="2026-08-08T19:23:46"/>
        <d v="2026-09-04T18:33:44"/>
        <d v="2026-09-08T13:04:06"/>
        <d v="2026-08-04T13:38:06"/>
        <d v="2026-08-23T16:17:56"/>
        <d v="2026-09-05T15:28:29"/>
        <d v="2026-08-29T19:39:58"/>
        <d v="2026-08-30T10:31:12"/>
        <d v="2026-08-09T19:40:37"/>
        <d v="2026-09-06T15:23:19"/>
        <d v="2026-08-09T16:13:53"/>
        <d v="2026-08-23T15:04:52"/>
        <d v="2026-08-04T09:08:31"/>
        <d v="2026-08-04T09:35:00"/>
        <d v="2026-08-22T08:23:59"/>
        <d v="2026-08-30T16:16:42"/>
        <d v="2026-09-09T13:24:37"/>
        <d v="2026-08-09T20:20:29"/>
        <d v="2026-08-24T03:20:05"/>
        <d v="2026-08-16T09:40:30"/>
        <d v="2026-08-14T11:21:45"/>
        <d v="2026-08-04T10:14:38"/>
        <d v="2026-09-09T16:46:07"/>
        <d v="2026-08-10T00:36:19"/>
        <d v="2026-08-10T09:02:50"/>
        <d v="2026-08-23T13:46:56"/>
        <d v="2026-08-14T14:23:30"/>
        <d v="2026-09-06T17:28:24"/>
        <d v="2026-09-03T06:06:37"/>
        <d v="2026-08-08T16:24:46"/>
        <d v="2026-08-25T21:09:34"/>
        <d v="2026-08-11T17:07:53"/>
        <d v="2026-09-07T04:33:26"/>
        <d v="2026-08-25T07:53:50"/>
        <d v="2026-09-08T17:57:42"/>
        <d v="2026-08-09T10:16:31"/>
        <d v="2026-08-22T11:58:37"/>
        <d v="2026-08-07T11:31:08"/>
        <d v="2026-08-12T13:12:40"/>
        <d v="2026-09-05T15:01:05"/>
        <d v="2026-08-09T16:45:22"/>
        <d v="2026-08-25T13:16:31"/>
        <d v="2026-08-10T18:30:49"/>
        <d v="2026-09-07T08:21:23"/>
        <d v="2026-08-26T13:56:39"/>
        <d v="2026-08-10T13:55:50"/>
        <d v="2026-08-19T07:10:12"/>
        <d v="2026-08-08T19:45:24"/>
        <d v="2026-08-09T17:24:05"/>
        <d v="2026-09-04T18:12:51"/>
        <d v="2026-09-06T13:45:12"/>
        <d v="2026-08-08T13:57:16"/>
        <d v="2026-08-14T07:16:32"/>
        <d v="2026-08-24T15:16:31"/>
        <d v="2026-08-09T14:14:07"/>
        <d v="2026-08-06T14:52:49"/>
        <d v="2026-08-18T15:06:11"/>
        <d v="2026-08-10T00:13:55"/>
        <d v="2026-08-16T09:40:02"/>
        <d v="2026-08-04T16:17:19"/>
        <d v="2026-08-07T13:09:54"/>
        <d v="2026-08-15T16:30:16"/>
        <d v="2026-08-29T19:38:52"/>
        <d v="2026-08-15T19:17:47"/>
        <d v="2026-08-22T16:02:00"/>
        <d v="2026-09-02T09:28:52"/>
        <d v="2026-09-05T11:02:17"/>
        <d v="2026-08-09T16:36:09"/>
        <d v="2026-08-24T08:47:25"/>
        <d v="2026-09-04T10:01:44"/>
        <d v="2026-09-07T09:04:54"/>
        <d v="2026-08-20T14:21:52"/>
        <d v="2026-09-02T16:44:53"/>
        <d v="2026-09-05T19:15:54"/>
        <d v="2026-09-01T10:30:21"/>
        <d v="2026-08-22T15:01:37"/>
        <d v="2026-08-31T12:11:14"/>
        <d v="2026-08-10T18:10:53"/>
        <d v="2026-09-08T13:24:34"/>
        <d v="2026-08-10T13:21:01"/>
        <d v="2026-08-20T14:06:32"/>
        <d v="2026-09-05T10:11:25"/>
        <d v="2026-08-31T14:40:32"/>
        <d v="2026-09-03T06:27:49"/>
        <d v="2026-08-11T18:00:05"/>
        <d v="2026-08-27T12:29:06"/>
        <d v="2026-08-08T20:12:46"/>
        <d v="2026-08-09T21:33:27"/>
        <d v="2026-09-03T08:29:32"/>
        <d v="2026-09-07T16:51:31"/>
        <d v="2026-09-05T10:34:42"/>
        <d v="2026-08-08T17:29:42"/>
        <d v="2026-08-08T16:43:12"/>
        <d v="2026-08-23T17:34:10"/>
        <d v="2026-08-23T09:48:08"/>
        <d v="2026-09-05T12:09:36"/>
        <d v="2026-08-08T16:59:49"/>
        <d v="2026-09-05T12:48:03"/>
        <d v="2026-08-08T12:37:37"/>
        <d v="2026-08-10T16:09:27"/>
        <d v="2026-08-09T09:27:27"/>
        <d v="2026-08-12T14:21:51"/>
        <d v="2026-08-17T16:24:17"/>
        <d v="2026-09-02T11:00:48"/>
        <d v="2026-09-01T11:54:01"/>
        <d v="2026-08-22T15:39:49"/>
        <d v="2026-08-27T13:32:56"/>
        <d v="2026-08-09T10:49:47"/>
        <d v="2026-09-06T16:54:20"/>
        <d v="2026-08-24T13:11:03"/>
        <d v="2026-09-06T19:09:38"/>
        <d v="2026-08-30T10:04:17"/>
        <d v="2026-08-08T16:22:47"/>
        <d v="2026-09-05T10:24:14"/>
        <d v="2026-08-30T12:55:04"/>
        <d v="2026-08-30T08:24:30"/>
        <d v="2026-08-12T12:22:52"/>
        <d v="2026-08-12T04:49:43"/>
        <d v="2026-08-31T06:14:52"/>
        <d v="2026-08-23T20:55:41"/>
        <d v="2026-09-05T14:57:41"/>
        <d v="2026-09-02T10:48:17"/>
        <d v="2026-08-23T18:26:56"/>
        <d v="2026-08-09T14:01:24"/>
        <d v="2026-08-10T06:26:01"/>
        <d v="2026-09-05T19:45:17"/>
        <d v="2026-08-10T19:07:51"/>
        <d v="2026-09-01T15:53:22"/>
        <d v="2026-09-08T12:45:32"/>
        <d v="2026-08-24T05:25:17"/>
        <d v="2026-08-09T16:24:42"/>
        <d v="2026-09-02T09:58:19"/>
        <d v="2026-08-26T04:37:12"/>
        <d v="2026-09-05T18:27:14"/>
        <d v="2026-08-08T12:44:01"/>
        <d v="2026-09-02T09:38:46"/>
        <d v="2026-09-05T15:17:14"/>
        <d v="2026-08-23T16:56:11"/>
        <d v="2026-09-02T08:49:58"/>
        <d v="2026-08-23T04:11:37"/>
        <d v="2026-08-25T14:09:51"/>
        <d v="2026-09-03T18:55:28"/>
        <d v="2026-08-17T22:34:23"/>
        <d v="2026-08-09T17:28:24"/>
        <d v="2026-08-16T04:38:14"/>
        <d v="2026-08-30T15:30:24"/>
        <d v="2026-08-30T18:45:42"/>
        <d v="2026-09-09T15:06:26"/>
        <d v="2026-08-27T15:10:07"/>
        <d v="2026-09-06T08:00:03"/>
        <d v="2026-08-09T09:24:57"/>
        <d v="2026-08-04T17:19:52"/>
        <d v="2026-09-02T14:54:22"/>
        <d v="2026-08-30T09:39:42"/>
        <d v="2026-09-04T16:29:01"/>
        <d v="2026-08-19T09:21:46"/>
        <d v="2026-09-04T17:26:34"/>
        <d v="2026-08-09T16:26:30"/>
        <d v="2026-08-21T12:29:55"/>
        <d v="2026-08-06T16:20:47"/>
        <d v="2026-08-23T14:38:29"/>
        <d v="2026-08-23T11:19:47"/>
        <d v="2026-09-04T15:03:52"/>
        <d v="2026-08-25T04:27:38"/>
        <d v="2026-08-10T15:33:39"/>
        <d v="2026-08-29T19:40:39"/>
        <d v="2026-08-12T17:45:53"/>
        <d v="2026-08-26T21:47:21"/>
        <d v="2026-08-11T02:43:57"/>
        <d v="2026-08-09T18:06:31"/>
        <d v="2026-09-04T11:04:11"/>
        <d v="2026-09-05T10:13:46"/>
        <d v="2026-08-19T20:38:02"/>
        <d v="2026-09-06T19:53:15"/>
        <d v="2026-09-03T18:16:38"/>
        <d v="2026-08-22T16:55:59"/>
        <d v="2026-09-05T16:26:36"/>
        <d v="2026-08-09T18:00:04"/>
        <d v="2026-08-09T09:43:34"/>
        <d v="2026-08-26T12:25:10"/>
        <d v="2026-08-31T16:05:26"/>
        <d v="2026-08-22T15:48:13"/>
        <d v="2026-09-04T04:51:49"/>
        <d v="2026-09-06T14:28:33"/>
        <d v="2026-09-05T17:42:39"/>
        <d v="2026-08-18T16:34:39"/>
        <d v="2026-09-06T19:17:57"/>
        <d v="2026-08-26T07:26:53"/>
        <d v="2026-08-10T18:36:00"/>
      </sharedItems>
      <fieldGroup par="5"/>
    </cacheField>
    <cacheField name="Дни (Время)" numFmtId="0" databaseField="0">
      <fieldGroup base="3">
        <rangePr groupBy="days" startDate="2026-08-04T09:08:31" endDate="2026-09-10T06:09:12"/>
        <groupItems count="368">
          <s v="&lt;04.08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10.09.2026"/>
        </groupItems>
      </fieldGroup>
    </cacheField>
    <cacheField name="Месяцы (Время)" numFmtId="0" databaseField="0">
      <fieldGroup base="3">
        <rangePr groupBy="months" startDate="2026-08-04T09:08:31" endDate="2026-09-10T06:09:12"/>
        <groupItems count="14">
          <s v="&lt;04.08.2026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10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5">
  <r>
    <x v="0"/>
    <x v="0"/>
    <x v="0"/>
    <x v="0"/>
  </r>
  <r>
    <x v="1"/>
    <x v="0"/>
    <x v="1"/>
    <x v="1"/>
  </r>
  <r>
    <x v="2"/>
    <x v="1"/>
    <x v="2"/>
    <x v="2"/>
  </r>
  <r>
    <x v="3"/>
    <x v="0"/>
    <x v="3"/>
    <x v="3"/>
  </r>
  <r>
    <x v="4"/>
    <x v="2"/>
    <x v="1"/>
    <x v="4"/>
  </r>
  <r>
    <x v="5"/>
    <x v="3"/>
    <x v="4"/>
    <x v="5"/>
  </r>
  <r>
    <x v="6"/>
    <x v="4"/>
    <x v="5"/>
    <x v="6"/>
  </r>
  <r>
    <x v="7"/>
    <x v="5"/>
    <x v="2"/>
    <x v="7"/>
  </r>
  <r>
    <x v="7"/>
    <x v="5"/>
    <x v="6"/>
    <x v="7"/>
  </r>
  <r>
    <x v="8"/>
    <x v="0"/>
    <x v="4"/>
    <x v="8"/>
  </r>
  <r>
    <x v="9"/>
    <x v="3"/>
    <x v="7"/>
    <x v="9"/>
  </r>
  <r>
    <x v="10"/>
    <x v="6"/>
    <x v="8"/>
    <x v="10"/>
  </r>
  <r>
    <x v="11"/>
    <x v="7"/>
    <x v="5"/>
    <x v="11"/>
  </r>
  <r>
    <x v="12"/>
    <x v="0"/>
    <x v="3"/>
    <x v="12"/>
  </r>
  <r>
    <x v="13"/>
    <x v="0"/>
    <x v="3"/>
    <x v="13"/>
  </r>
  <r>
    <x v="14"/>
    <x v="3"/>
    <x v="4"/>
    <x v="14"/>
  </r>
  <r>
    <x v="15"/>
    <x v="4"/>
    <x v="8"/>
    <x v="15"/>
  </r>
  <r>
    <x v="15"/>
    <x v="4"/>
    <x v="9"/>
    <x v="15"/>
  </r>
  <r>
    <x v="16"/>
    <x v="8"/>
    <x v="6"/>
    <x v="16"/>
  </r>
  <r>
    <x v="17"/>
    <x v="0"/>
    <x v="10"/>
    <x v="17"/>
  </r>
  <r>
    <x v="18"/>
    <x v="4"/>
    <x v="9"/>
    <x v="18"/>
  </r>
  <r>
    <x v="18"/>
    <x v="4"/>
    <x v="0"/>
    <x v="18"/>
  </r>
  <r>
    <x v="19"/>
    <x v="9"/>
    <x v="4"/>
    <x v="19"/>
  </r>
  <r>
    <x v="19"/>
    <x v="9"/>
    <x v="0"/>
    <x v="19"/>
  </r>
  <r>
    <x v="20"/>
    <x v="4"/>
    <x v="9"/>
    <x v="20"/>
  </r>
  <r>
    <x v="20"/>
    <x v="4"/>
    <x v="0"/>
    <x v="20"/>
  </r>
  <r>
    <x v="21"/>
    <x v="3"/>
    <x v="1"/>
    <x v="21"/>
  </r>
  <r>
    <x v="22"/>
    <x v="10"/>
    <x v="8"/>
    <x v="22"/>
  </r>
  <r>
    <x v="23"/>
    <x v="0"/>
    <x v="1"/>
    <x v="23"/>
  </r>
  <r>
    <x v="24"/>
    <x v="3"/>
    <x v="1"/>
    <x v="24"/>
  </r>
  <r>
    <x v="25"/>
    <x v="7"/>
    <x v="5"/>
    <x v="25"/>
  </r>
  <r>
    <x v="25"/>
    <x v="11"/>
    <x v="7"/>
    <x v="26"/>
  </r>
  <r>
    <x v="25"/>
    <x v="11"/>
    <x v="11"/>
    <x v="26"/>
  </r>
  <r>
    <x v="26"/>
    <x v="0"/>
    <x v="1"/>
    <x v="27"/>
  </r>
  <r>
    <x v="27"/>
    <x v="9"/>
    <x v="4"/>
    <x v="28"/>
  </r>
  <r>
    <x v="27"/>
    <x v="9"/>
    <x v="0"/>
    <x v="28"/>
  </r>
  <r>
    <x v="28"/>
    <x v="3"/>
    <x v="5"/>
    <x v="29"/>
  </r>
  <r>
    <x v="29"/>
    <x v="0"/>
    <x v="1"/>
    <x v="30"/>
  </r>
  <r>
    <x v="30"/>
    <x v="9"/>
    <x v="1"/>
    <x v="31"/>
  </r>
  <r>
    <x v="31"/>
    <x v="7"/>
    <x v="8"/>
    <x v="32"/>
  </r>
  <r>
    <x v="32"/>
    <x v="12"/>
    <x v="5"/>
    <x v="33"/>
  </r>
  <r>
    <x v="32"/>
    <x v="12"/>
    <x v="9"/>
    <x v="33"/>
  </r>
  <r>
    <x v="33"/>
    <x v="13"/>
    <x v="4"/>
    <x v="34"/>
  </r>
  <r>
    <x v="34"/>
    <x v="14"/>
    <x v="7"/>
    <x v="35"/>
  </r>
  <r>
    <x v="35"/>
    <x v="0"/>
    <x v="6"/>
    <x v="36"/>
  </r>
  <r>
    <x v="35"/>
    <x v="0"/>
    <x v="11"/>
    <x v="36"/>
  </r>
  <r>
    <x v="35"/>
    <x v="0"/>
    <x v="12"/>
    <x v="36"/>
  </r>
  <r>
    <x v="35"/>
    <x v="0"/>
    <x v="13"/>
    <x v="36"/>
  </r>
  <r>
    <x v="35"/>
    <x v="0"/>
    <x v="14"/>
    <x v="36"/>
  </r>
  <r>
    <x v="36"/>
    <x v="2"/>
    <x v="7"/>
    <x v="37"/>
  </r>
  <r>
    <x v="37"/>
    <x v="7"/>
    <x v="0"/>
    <x v="38"/>
  </r>
  <r>
    <x v="38"/>
    <x v="8"/>
    <x v="13"/>
    <x v="39"/>
  </r>
  <r>
    <x v="39"/>
    <x v="7"/>
    <x v="0"/>
    <x v="40"/>
  </r>
  <r>
    <x v="40"/>
    <x v="15"/>
    <x v="8"/>
    <x v="41"/>
  </r>
  <r>
    <x v="41"/>
    <x v="3"/>
    <x v="1"/>
    <x v="42"/>
  </r>
  <r>
    <x v="42"/>
    <x v="16"/>
    <x v="2"/>
    <x v="43"/>
  </r>
  <r>
    <x v="42"/>
    <x v="16"/>
    <x v="0"/>
    <x v="43"/>
  </r>
  <r>
    <x v="43"/>
    <x v="6"/>
    <x v="3"/>
    <x v="44"/>
  </r>
  <r>
    <x v="44"/>
    <x v="2"/>
    <x v="6"/>
    <x v="45"/>
  </r>
  <r>
    <x v="45"/>
    <x v="17"/>
    <x v="15"/>
    <x v="46"/>
  </r>
  <r>
    <x v="46"/>
    <x v="12"/>
    <x v="8"/>
    <x v="47"/>
  </r>
  <r>
    <x v="46"/>
    <x v="12"/>
    <x v="9"/>
    <x v="47"/>
  </r>
  <r>
    <x v="47"/>
    <x v="0"/>
    <x v="7"/>
    <x v="48"/>
  </r>
  <r>
    <x v="48"/>
    <x v="9"/>
    <x v="3"/>
    <x v="49"/>
  </r>
  <r>
    <x v="48"/>
    <x v="9"/>
    <x v="7"/>
    <x v="49"/>
  </r>
  <r>
    <x v="49"/>
    <x v="0"/>
    <x v="9"/>
    <x v="50"/>
  </r>
  <r>
    <x v="50"/>
    <x v="10"/>
    <x v="1"/>
    <x v="51"/>
  </r>
  <r>
    <x v="51"/>
    <x v="17"/>
    <x v="15"/>
    <x v="52"/>
  </r>
  <r>
    <x v="52"/>
    <x v="4"/>
    <x v="8"/>
    <x v="53"/>
  </r>
  <r>
    <x v="53"/>
    <x v="7"/>
    <x v="9"/>
    <x v="54"/>
  </r>
  <r>
    <x v="54"/>
    <x v="10"/>
    <x v="3"/>
    <x v="55"/>
  </r>
  <r>
    <x v="55"/>
    <x v="9"/>
    <x v="5"/>
    <x v="56"/>
  </r>
  <r>
    <x v="56"/>
    <x v="4"/>
    <x v="8"/>
    <x v="57"/>
  </r>
  <r>
    <x v="57"/>
    <x v="18"/>
    <x v="5"/>
    <x v="58"/>
  </r>
  <r>
    <x v="57"/>
    <x v="18"/>
    <x v="8"/>
    <x v="58"/>
  </r>
  <r>
    <x v="57"/>
    <x v="19"/>
    <x v="9"/>
    <x v="58"/>
  </r>
  <r>
    <x v="58"/>
    <x v="0"/>
    <x v="1"/>
    <x v="59"/>
  </r>
  <r>
    <x v="59"/>
    <x v="0"/>
    <x v="1"/>
    <x v="60"/>
  </r>
  <r>
    <x v="60"/>
    <x v="6"/>
    <x v="1"/>
    <x v="61"/>
  </r>
  <r>
    <x v="60"/>
    <x v="6"/>
    <x v="8"/>
    <x v="61"/>
  </r>
  <r>
    <x v="61"/>
    <x v="12"/>
    <x v="5"/>
    <x v="62"/>
  </r>
  <r>
    <x v="61"/>
    <x v="12"/>
    <x v="9"/>
    <x v="62"/>
  </r>
  <r>
    <x v="62"/>
    <x v="17"/>
    <x v="16"/>
    <x v="63"/>
  </r>
  <r>
    <x v="62"/>
    <x v="17"/>
    <x v="17"/>
    <x v="63"/>
  </r>
  <r>
    <x v="62"/>
    <x v="0"/>
    <x v="10"/>
    <x v="64"/>
  </r>
  <r>
    <x v="63"/>
    <x v="12"/>
    <x v="6"/>
    <x v="65"/>
  </r>
  <r>
    <x v="64"/>
    <x v="7"/>
    <x v="0"/>
    <x v="66"/>
  </r>
  <r>
    <x v="65"/>
    <x v="20"/>
    <x v="9"/>
    <x v="67"/>
  </r>
  <r>
    <x v="66"/>
    <x v="7"/>
    <x v="0"/>
    <x v="68"/>
  </r>
  <r>
    <x v="66"/>
    <x v="0"/>
    <x v="1"/>
    <x v="69"/>
  </r>
  <r>
    <x v="67"/>
    <x v="21"/>
    <x v="10"/>
    <x v="70"/>
  </r>
  <r>
    <x v="67"/>
    <x v="21"/>
    <x v="9"/>
    <x v="70"/>
  </r>
  <r>
    <x v="68"/>
    <x v="22"/>
    <x v="15"/>
    <x v="71"/>
  </r>
  <r>
    <x v="69"/>
    <x v="23"/>
    <x v="0"/>
    <x v="72"/>
  </r>
  <r>
    <x v="70"/>
    <x v="3"/>
    <x v="6"/>
    <x v="73"/>
  </r>
  <r>
    <x v="71"/>
    <x v="6"/>
    <x v="3"/>
    <x v="74"/>
  </r>
  <r>
    <x v="71"/>
    <x v="6"/>
    <x v="1"/>
    <x v="74"/>
  </r>
  <r>
    <x v="72"/>
    <x v="12"/>
    <x v="9"/>
    <x v="75"/>
  </r>
  <r>
    <x v="73"/>
    <x v="3"/>
    <x v="3"/>
    <x v="76"/>
  </r>
  <r>
    <x v="74"/>
    <x v="23"/>
    <x v="4"/>
    <x v="77"/>
  </r>
  <r>
    <x v="74"/>
    <x v="23"/>
    <x v="0"/>
    <x v="77"/>
  </r>
  <r>
    <x v="75"/>
    <x v="6"/>
    <x v="10"/>
    <x v="78"/>
  </r>
  <r>
    <x v="75"/>
    <x v="6"/>
    <x v="4"/>
    <x v="78"/>
  </r>
  <r>
    <x v="76"/>
    <x v="3"/>
    <x v="4"/>
    <x v="79"/>
  </r>
  <r>
    <x v="77"/>
    <x v="22"/>
    <x v="17"/>
    <x v="80"/>
  </r>
  <r>
    <x v="78"/>
    <x v="8"/>
    <x v="14"/>
    <x v="81"/>
  </r>
  <r>
    <x v="79"/>
    <x v="6"/>
    <x v="1"/>
    <x v="82"/>
  </r>
  <r>
    <x v="80"/>
    <x v="3"/>
    <x v="3"/>
    <x v="83"/>
  </r>
  <r>
    <x v="81"/>
    <x v="24"/>
    <x v="4"/>
    <x v="84"/>
  </r>
  <r>
    <x v="81"/>
    <x v="24"/>
    <x v="0"/>
    <x v="84"/>
  </r>
  <r>
    <x v="82"/>
    <x v="7"/>
    <x v="0"/>
    <x v="85"/>
  </r>
  <r>
    <x v="83"/>
    <x v="7"/>
    <x v="5"/>
    <x v="86"/>
  </r>
  <r>
    <x v="84"/>
    <x v="0"/>
    <x v="4"/>
    <x v="87"/>
  </r>
  <r>
    <x v="85"/>
    <x v="4"/>
    <x v="9"/>
    <x v="88"/>
  </r>
  <r>
    <x v="86"/>
    <x v="9"/>
    <x v="10"/>
    <x v="89"/>
  </r>
  <r>
    <x v="87"/>
    <x v="0"/>
    <x v="3"/>
    <x v="90"/>
  </r>
  <r>
    <x v="88"/>
    <x v="25"/>
    <x v="6"/>
    <x v="91"/>
  </r>
  <r>
    <x v="89"/>
    <x v="6"/>
    <x v="9"/>
    <x v="92"/>
  </r>
  <r>
    <x v="90"/>
    <x v="0"/>
    <x v="8"/>
    <x v="93"/>
  </r>
  <r>
    <x v="91"/>
    <x v="8"/>
    <x v="12"/>
    <x v="94"/>
  </r>
  <r>
    <x v="92"/>
    <x v="22"/>
    <x v="15"/>
    <x v="95"/>
  </r>
  <r>
    <x v="93"/>
    <x v="0"/>
    <x v="7"/>
    <x v="96"/>
  </r>
  <r>
    <x v="94"/>
    <x v="9"/>
    <x v="3"/>
    <x v="97"/>
  </r>
  <r>
    <x v="94"/>
    <x v="9"/>
    <x v="4"/>
    <x v="97"/>
  </r>
  <r>
    <x v="95"/>
    <x v="7"/>
    <x v="0"/>
    <x v="98"/>
  </r>
  <r>
    <x v="96"/>
    <x v="0"/>
    <x v="7"/>
    <x v="99"/>
  </r>
  <r>
    <x v="97"/>
    <x v="9"/>
    <x v="4"/>
    <x v="100"/>
  </r>
  <r>
    <x v="97"/>
    <x v="9"/>
    <x v="0"/>
    <x v="100"/>
  </r>
  <r>
    <x v="98"/>
    <x v="3"/>
    <x v="3"/>
    <x v="101"/>
  </r>
  <r>
    <x v="99"/>
    <x v="0"/>
    <x v="5"/>
    <x v="102"/>
  </r>
  <r>
    <x v="100"/>
    <x v="20"/>
    <x v="9"/>
    <x v="103"/>
  </r>
  <r>
    <x v="101"/>
    <x v="16"/>
    <x v="3"/>
    <x v="104"/>
  </r>
  <r>
    <x v="101"/>
    <x v="16"/>
    <x v="1"/>
    <x v="104"/>
  </r>
  <r>
    <x v="102"/>
    <x v="7"/>
    <x v="0"/>
    <x v="105"/>
  </r>
  <r>
    <x v="103"/>
    <x v="9"/>
    <x v="3"/>
    <x v="106"/>
  </r>
  <r>
    <x v="103"/>
    <x v="9"/>
    <x v="1"/>
    <x v="106"/>
  </r>
  <r>
    <x v="104"/>
    <x v="0"/>
    <x v="4"/>
    <x v="107"/>
  </r>
  <r>
    <x v="105"/>
    <x v="4"/>
    <x v="5"/>
    <x v="108"/>
  </r>
  <r>
    <x v="105"/>
    <x v="4"/>
    <x v="9"/>
    <x v="108"/>
  </r>
  <r>
    <x v="106"/>
    <x v="6"/>
    <x v="3"/>
    <x v="109"/>
  </r>
  <r>
    <x v="106"/>
    <x v="6"/>
    <x v="4"/>
    <x v="109"/>
  </r>
  <r>
    <x v="107"/>
    <x v="6"/>
    <x v="3"/>
    <x v="82"/>
  </r>
  <r>
    <x v="108"/>
    <x v="0"/>
    <x v="1"/>
    <x v="110"/>
  </r>
  <r>
    <x v="109"/>
    <x v="0"/>
    <x v="3"/>
    <x v="111"/>
  </r>
  <r>
    <x v="110"/>
    <x v="0"/>
    <x v="4"/>
    <x v="112"/>
  </r>
  <r>
    <x v="111"/>
    <x v="23"/>
    <x v="1"/>
    <x v="113"/>
  </r>
  <r>
    <x v="111"/>
    <x v="23"/>
    <x v="8"/>
    <x v="113"/>
  </r>
  <r>
    <x v="112"/>
    <x v="0"/>
    <x v="4"/>
    <x v="114"/>
  </r>
  <r>
    <x v="113"/>
    <x v="6"/>
    <x v="3"/>
    <x v="115"/>
  </r>
  <r>
    <x v="113"/>
    <x v="6"/>
    <x v="1"/>
    <x v="115"/>
  </r>
  <r>
    <x v="114"/>
    <x v="13"/>
    <x v="4"/>
    <x v="116"/>
  </r>
  <r>
    <x v="115"/>
    <x v="9"/>
    <x v="2"/>
    <x v="117"/>
  </r>
  <r>
    <x v="115"/>
    <x v="9"/>
    <x v="4"/>
    <x v="117"/>
  </r>
  <r>
    <x v="116"/>
    <x v="3"/>
    <x v="4"/>
    <x v="118"/>
  </r>
  <r>
    <x v="117"/>
    <x v="3"/>
    <x v="7"/>
    <x v="119"/>
  </r>
  <r>
    <x v="118"/>
    <x v="0"/>
    <x v="10"/>
    <x v="120"/>
  </r>
  <r>
    <x v="119"/>
    <x v="7"/>
    <x v="0"/>
    <x v="121"/>
  </r>
  <r>
    <x v="120"/>
    <x v="0"/>
    <x v="3"/>
    <x v="122"/>
  </r>
  <r>
    <x v="121"/>
    <x v="9"/>
    <x v="1"/>
    <x v="123"/>
  </r>
  <r>
    <x v="121"/>
    <x v="9"/>
    <x v="8"/>
    <x v="123"/>
  </r>
  <r>
    <x v="122"/>
    <x v="17"/>
    <x v="17"/>
    <x v="124"/>
  </r>
  <r>
    <x v="123"/>
    <x v="8"/>
    <x v="12"/>
    <x v="125"/>
  </r>
  <r>
    <x v="124"/>
    <x v="0"/>
    <x v="1"/>
    <x v="126"/>
  </r>
  <r>
    <x v="125"/>
    <x v="20"/>
    <x v="8"/>
    <x v="127"/>
  </r>
  <r>
    <x v="126"/>
    <x v="0"/>
    <x v="1"/>
    <x v="128"/>
  </r>
  <r>
    <x v="127"/>
    <x v="13"/>
    <x v="4"/>
    <x v="129"/>
  </r>
  <r>
    <x v="128"/>
    <x v="7"/>
    <x v="0"/>
    <x v="130"/>
  </r>
  <r>
    <x v="129"/>
    <x v="8"/>
    <x v="6"/>
    <x v="131"/>
  </r>
  <r>
    <x v="130"/>
    <x v="20"/>
    <x v="5"/>
    <x v="132"/>
  </r>
  <r>
    <x v="131"/>
    <x v="20"/>
    <x v="4"/>
    <x v="133"/>
  </r>
  <r>
    <x v="132"/>
    <x v="4"/>
    <x v="4"/>
    <x v="134"/>
  </r>
  <r>
    <x v="132"/>
    <x v="4"/>
    <x v="0"/>
    <x v="134"/>
  </r>
  <r>
    <x v="133"/>
    <x v="6"/>
    <x v="10"/>
    <x v="135"/>
  </r>
  <r>
    <x v="134"/>
    <x v="12"/>
    <x v="8"/>
    <x v="136"/>
  </r>
  <r>
    <x v="134"/>
    <x v="12"/>
    <x v="9"/>
    <x v="136"/>
  </r>
  <r>
    <x v="135"/>
    <x v="9"/>
    <x v="3"/>
    <x v="137"/>
  </r>
  <r>
    <x v="135"/>
    <x v="9"/>
    <x v="7"/>
    <x v="137"/>
  </r>
  <r>
    <x v="136"/>
    <x v="23"/>
    <x v="5"/>
    <x v="138"/>
  </r>
  <r>
    <x v="137"/>
    <x v="7"/>
    <x v="8"/>
    <x v="139"/>
  </r>
  <r>
    <x v="137"/>
    <x v="2"/>
    <x v="1"/>
    <x v="140"/>
  </r>
  <r>
    <x v="138"/>
    <x v="6"/>
    <x v="3"/>
    <x v="141"/>
  </r>
  <r>
    <x v="138"/>
    <x v="6"/>
    <x v="8"/>
    <x v="141"/>
  </r>
  <r>
    <x v="139"/>
    <x v="3"/>
    <x v="0"/>
    <x v="142"/>
  </r>
  <r>
    <x v="140"/>
    <x v="9"/>
    <x v="9"/>
    <x v="143"/>
  </r>
  <r>
    <x v="141"/>
    <x v="7"/>
    <x v="0"/>
    <x v="144"/>
  </r>
  <r>
    <x v="142"/>
    <x v="22"/>
    <x v="15"/>
    <x v="145"/>
  </r>
  <r>
    <x v="143"/>
    <x v="26"/>
    <x v="4"/>
    <x v="146"/>
  </r>
  <r>
    <x v="143"/>
    <x v="26"/>
    <x v="0"/>
    <x v="146"/>
  </r>
  <r>
    <x v="143"/>
    <x v="0"/>
    <x v="4"/>
    <x v="147"/>
  </r>
  <r>
    <x v="144"/>
    <x v="0"/>
    <x v="4"/>
    <x v="148"/>
  </r>
  <r>
    <x v="145"/>
    <x v="22"/>
    <x v="15"/>
    <x v="149"/>
  </r>
  <r>
    <x v="146"/>
    <x v="9"/>
    <x v="1"/>
    <x v="150"/>
  </r>
  <r>
    <x v="146"/>
    <x v="9"/>
    <x v="8"/>
    <x v="150"/>
  </r>
  <r>
    <x v="147"/>
    <x v="9"/>
    <x v="3"/>
    <x v="151"/>
  </r>
  <r>
    <x v="148"/>
    <x v="0"/>
    <x v="1"/>
    <x v="152"/>
  </r>
  <r>
    <x v="149"/>
    <x v="0"/>
    <x v="7"/>
    <x v="153"/>
  </r>
  <r>
    <x v="150"/>
    <x v="9"/>
    <x v="4"/>
    <x v="154"/>
  </r>
  <r>
    <x v="151"/>
    <x v="7"/>
    <x v="8"/>
    <x v="155"/>
  </r>
  <r>
    <x v="152"/>
    <x v="2"/>
    <x v="6"/>
    <x v="156"/>
  </r>
  <r>
    <x v="153"/>
    <x v="0"/>
    <x v="10"/>
    <x v="157"/>
  </r>
  <r>
    <x v="154"/>
    <x v="9"/>
    <x v="7"/>
    <x v="158"/>
  </r>
  <r>
    <x v="154"/>
    <x v="9"/>
    <x v="5"/>
    <x v="158"/>
  </r>
  <r>
    <x v="154"/>
    <x v="27"/>
    <x v="9"/>
    <x v="159"/>
  </r>
  <r>
    <x v="155"/>
    <x v="9"/>
    <x v="10"/>
    <x v="160"/>
  </r>
  <r>
    <x v="155"/>
    <x v="9"/>
    <x v="9"/>
    <x v="160"/>
  </r>
  <r>
    <x v="156"/>
    <x v="9"/>
    <x v="3"/>
    <x v="161"/>
  </r>
  <r>
    <x v="156"/>
    <x v="9"/>
    <x v="1"/>
    <x v="161"/>
  </r>
  <r>
    <x v="157"/>
    <x v="28"/>
    <x v="5"/>
    <x v="162"/>
  </r>
  <r>
    <x v="157"/>
    <x v="28"/>
    <x v="6"/>
    <x v="162"/>
  </r>
  <r>
    <x v="158"/>
    <x v="23"/>
    <x v="7"/>
    <x v="163"/>
  </r>
  <r>
    <x v="158"/>
    <x v="23"/>
    <x v="5"/>
    <x v="163"/>
  </r>
  <r>
    <x v="159"/>
    <x v="12"/>
    <x v="0"/>
    <x v="164"/>
  </r>
  <r>
    <x v="160"/>
    <x v="12"/>
    <x v="5"/>
    <x v="165"/>
  </r>
  <r>
    <x v="160"/>
    <x v="12"/>
    <x v="9"/>
    <x v="165"/>
  </r>
  <r>
    <x v="161"/>
    <x v="22"/>
    <x v="15"/>
    <x v="166"/>
  </r>
  <r>
    <x v="162"/>
    <x v="3"/>
    <x v="3"/>
    <x v="167"/>
  </r>
  <r>
    <x v="163"/>
    <x v="20"/>
    <x v="8"/>
    <x v="168"/>
  </r>
  <r>
    <x v="164"/>
    <x v="3"/>
    <x v="4"/>
    <x v="169"/>
  </r>
  <r>
    <x v="165"/>
    <x v="22"/>
    <x v="15"/>
    <x v="170"/>
  </r>
  <r>
    <x v="166"/>
    <x v="4"/>
    <x v="8"/>
    <x v="171"/>
  </r>
  <r>
    <x v="166"/>
    <x v="4"/>
    <x v="9"/>
    <x v="171"/>
  </r>
  <r>
    <x v="167"/>
    <x v="9"/>
    <x v="3"/>
    <x v="172"/>
  </r>
  <r>
    <x v="167"/>
    <x v="9"/>
    <x v="1"/>
    <x v="172"/>
  </r>
  <r>
    <x v="168"/>
    <x v="0"/>
    <x v="4"/>
    <x v="173"/>
  </r>
  <r>
    <x v="169"/>
    <x v="29"/>
    <x v="8"/>
    <x v="174"/>
  </r>
  <r>
    <x v="170"/>
    <x v="0"/>
    <x v="4"/>
    <x v="175"/>
  </r>
  <r>
    <x v="171"/>
    <x v="0"/>
    <x v="3"/>
    <x v="176"/>
  </r>
  <r>
    <x v="172"/>
    <x v="4"/>
    <x v="8"/>
    <x v="177"/>
  </r>
  <r>
    <x v="172"/>
    <x v="4"/>
    <x v="9"/>
    <x v="177"/>
  </r>
  <r>
    <x v="173"/>
    <x v="9"/>
    <x v="1"/>
    <x v="178"/>
  </r>
  <r>
    <x v="173"/>
    <x v="9"/>
    <x v="10"/>
    <x v="178"/>
  </r>
  <r>
    <x v="174"/>
    <x v="8"/>
    <x v="14"/>
    <x v="179"/>
  </r>
  <r>
    <x v="175"/>
    <x v="7"/>
    <x v="6"/>
    <x v="180"/>
  </r>
  <r>
    <x v="176"/>
    <x v="0"/>
    <x v="0"/>
    <x v="181"/>
  </r>
  <r>
    <x v="177"/>
    <x v="0"/>
    <x v="3"/>
    <x v="182"/>
  </r>
  <r>
    <x v="178"/>
    <x v="7"/>
    <x v="0"/>
    <x v="183"/>
  </r>
  <r>
    <x v="179"/>
    <x v="10"/>
    <x v="9"/>
    <x v="184"/>
  </r>
  <r>
    <x v="180"/>
    <x v="0"/>
    <x v="4"/>
    <x v="185"/>
  </r>
  <r>
    <x v="181"/>
    <x v="0"/>
    <x v="7"/>
    <x v="186"/>
  </r>
  <r>
    <x v="182"/>
    <x v="7"/>
    <x v="5"/>
    <x v="187"/>
  </r>
  <r>
    <x v="183"/>
    <x v="4"/>
    <x v="9"/>
    <x v="188"/>
  </r>
  <r>
    <x v="184"/>
    <x v="6"/>
    <x v="3"/>
    <x v="189"/>
  </r>
  <r>
    <x v="184"/>
    <x v="6"/>
    <x v="1"/>
    <x v="189"/>
  </r>
  <r>
    <x v="185"/>
    <x v="4"/>
    <x v="9"/>
    <x v="190"/>
  </r>
  <r>
    <x v="186"/>
    <x v="5"/>
    <x v="9"/>
    <x v="191"/>
  </r>
  <r>
    <x v="186"/>
    <x v="5"/>
    <x v="0"/>
    <x v="191"/>
  </r>
  <r>
    <x v="187"/>
    <x v="6"/>
    <x v="7"/>
    <x v="192"/>
  </r>
  <r>
    <x v="188"/>
    <x v="13"/>
    <x v="0"/>
    <x v="193"/>
  </r>
  <r>
    <x v="189"/>
    <x v="8"/>
    <x v="13"/>
    <x v="194"/>
  </r>
  <r>
    <x v="190"/>
    <x v="30"/>
    <x v="3"/>
    <x v="195"/>
  </r>
  <r>
    <x v="190"/>
    <x v="30"/>
    <x v="6"/>
    <x v="195"/>
  </r>
  <r>
    <x v="190"/>
    <x v="30"/>
    <x v="13"/>
    <x v="195"/>
  </r>
  <r>
    <x v="190"/>
    <x v="30"/>
    <x v="14"/>
    <x v="195"/>
  </r>
  <r>
    <x v="191"/>
    <x v="9"/>
    <x v="3"/>
    <x v="196"/>
  </r>
  <r>
    <x v="191"/>
    <x v="9"/>
    <x v="1"/>
    <x v="196"/>
  </r>
  <r>
    <x v="192"/>
    <x v="3"/>
    <x v="3"/>
    <x v="197"/>
  </r>
  <r>
    <x v="193"/>
    <x v="0"/>
    <x v="9"/>
    <x v="198"/>
  </r>
  <r>
    <x v="194"/>
    <x v="3"/>
    <x v="3"/>
    <x v="199"/>
  </r>
  <r>
    <x v="195"/>
    <x v="8"/>
    <x v="12"/>
    <x v="200"/>
  </r>
  <r>
    <x v="196"/>
    <x v="9"/>
    <x v="3"/>
    <x v="201"/>
  </r>
  <r>
    <x v="196"/>
    <x v="9"/>
    <x v="7"/>
    <x v="201"/>
  </r>
  <r>
    <x v="197"/>
    <x v="9"/>
    <x v="0"/>
    <x v="202"/>
  </r>
  <r>
    <x v="198"/>
    <x v="8"/>
    <x v="13"/>
    <x v="203"/>
  </r>
  <r>
    <x v="199"/>
    <x v="9"/>
    <x v="4"/>
    <x v="204"/>
  </r>
  <r>
    <x v="199"/>
    <x v="9"/>
    <x v="0"/>
    <x v="204"/>
  </r>
  <r>
    <x v="200"/>
    <x v="22"/>
    <x v="17"/>
    <x v="205"/>
  </r>
  <r>
    <x v="201"/>
    <x v="9"/>
    <x v="3"/>
    <x v="206"/>
  </r>
  <r>
    <x v="201"/>
    <x v="9"/>
    <x v="7"/>
    <x v="206"/>
  </r>
  <r>
    <x v="202"/>
    <x v="9"/>
    <x v="3"/>
    <x v="207"/>
  </r>
  <r>
    <x v="202"/>
    <x v="9"/>
    <x v="4"/>
    <x v="207"/>
  </r>
  <r>
    <x v="203"/>
    <x v="0"/>
    <x v="1"/>
    <x v="208"/>
  </r>
  <r>
    <x v="204"/>
    <x v="0"/>
    <x v="4"/>
    <x v="209"/>
  </r>
  <r>
    <x v="205"/>
    <x v="12"/>
    <x v="5"/>
    <x v="210"/>
  </r>
  <r>
    <x v="205"/>
    <x v="12"/>
    <x v="6"/>
    <x v="210"/>
  </r>
  <r>
    <x v="206"/>
    <x v="7"/>
    <x v="9"/>
    <x v="211"/>
  </r>
  <r>
    <x v="207"/>
    <x v="17"/>
    <x v="15"/>
    <x v="212"/>
  </r>
  <r>
    <x v="208"/>
    <x v="0"/>
    <x v="7"/>
    <x v="213"/>
  </r>
  <r>
    <x v="209"/>
    <x v="9"/>
    <x v="0"/>
    <x v="214"/>
  </r>
  <r>
    <x v="210"/>
    <x v="9"/>
    <x v="3"/>
    <x v="215"/>
  </r>
  <r>
    <x v="210"/>
    <x v="9"/>
    <x v="1"/>
    <x v="215"/>
  </r>
  <r>
    <x v="211"/>
    <x v="9"/>
    <x v="10"/>
    <x v="216"/>
  </r>
  <r>
    <x v="211"/>
    <x v="9"/>
    <x v="9"/>
    <x v="216"/>
  </r>
  <r>
    <x v="212"/>
    <x v="0"/>
    <x v="4"/>
    <x v="217"/>
  </r>
  <r>
    <x v="213"/>
    <x v="0"/>
    <x v="3"/>
    <x v="218"/>
  </r>
  <r>
    <x v="214"/>
    <x v="6"/>
    <x v="10"/>
    <x v="219"/>
  </r>
  <r>
    <x v="215"/>
    <x v="9"/>
    <x v="3"/>
    <x v="220"/>
  </r>
  <r>
    <x v="216"/>
    <x v="22"/>
    <x v="15"/>
    <x v="221"/>
  </r>
  <r>
    <x v="217"/>
    <x v="23"/>
    <x v="7"/>
    <x v="222"/>
  </r>
  <r>
    <x v="217"/>
    <x v="23"/>
    <x v="10"/>
    <x v="222"/>
  </r>
  <r>
    <x v="218"/>
    <x v="8"/>
    <x v="13"/>
    <x v="223"/>
  </r>
  <r>
    <x v="219"/>
    <x v="8"/>
    <x v="12"/>
    <x v="224"/>
  </r>
  <r>
    <x v="220"/>
    <x v="9"/>
    <x v="4"/>
    <x v="225"/>
  </r>
  <r>
    <x v="220"/>
    <x v="9"/>
    <x v="0"/>
    <x v="225"/>
  </r>
  <r>
    <x v="221"/>
    <x v="31"/>
    <x v="7"/>
    <x v="226"/>
  </r>
  <r>
    <x v="221"/>
    <x v="31"/>
    <x v="5"/>
    <x v="226"/>
  </r>
  <r>
    <x v="222"/>
    <x v="7"/>
    <x v="9"/>
    <x v="227"/>
  </r>
  <r>
    <x v="223"/>
    <x v="3"/>
    <x v="4"/>
    <x v="228"/>
  </r>
  <r>
    <x v="224"/>
    <x v="20"/>
    <x v="2"/>
    <x v="229"/>
  </r>
  <r>
    <x v="225"/>
    <x v="9"/>
    <x v="8"/>
    <x v="230"/>
  </r>
  <r>
    <x v="226"/>
    <x v="32"/>
    <x v="8"/>
    <x v="231"/>
  </r>
  <r>
    <x v="226"/>
    <x v="32"/>
    <x v="9"/>
    <x v="231"/>
  </r>
  <r>
    <x v="227"/>
    <x v="17"/>
    <x v="17"/>
    <x v="232"/>
  </r>
  <r>
    <x v="227"/>
    <x v="0"/>
    <x v="3"/>
    <x v="233"/>
  </r>
  <r>
    <x v="228"/>
    <x v="8"/>
    <x v="14"/>
    <x v="234"/>
  </r>
  <r>
    <x v="228"/>
    <x v="3"/>
    <x v="3"/>
    <x v="235"/>
  </r>
  <r>
    <x v="229"/>
    <x v="0"/>
    <x v="4"/>
    <x v="236"/>
  </r>
  <r>
    <x v="230"/>
    <x v="33"/>
    <x v="6"/>
    <x v="237"/>
  </r>
  <r>
    <x v="230"/>
    <x v="33"/>
    <x v="11"/>
    <x v="237"/>
  </r>
  <r>
    <x v="230"/>
    <x v="33"/>
    <x v="12"/>
    <x v="237"/>
  </r>
  <r>
    <x v="230"/>
    <x v="33"/>
    <x v="13"/>
    <x v="237"/>
  </r>
  <r>
    <x v="230"/>
    <x v="33"/>
    <x v="14"/>
    <x v="237"/>
  </r>
  <r>
    <x v="231"/>
    <x v="7"/>
    <x v="0"/>
    <x v="238"/>
  </r>
  <r>
    <x v="232"/>
    <x v="7"/>
    <x v="0"/>
    <x v="239"/>
  </r>
  <r>
    <x v="233"/>
    <x v="4"/>
    <x v="8"/>
    <x v="240"/>
  </r>
  <r>
    <x v="234"/>
    <x v="3"/>
    <x v="3"/>
    <x v="241"/>
  </r>
  <r>
    <x v="235"/>
    <x v="9"/>
    <x v="1"/>
    <x v="242"/>
  </r>
  <r>
    <x v="236"/>
    <x v="0"/>
    <x v="3"/>
    <x v="243"/>
  </r>
  <r>
    <x v="237"/>
    <x v="0"/>
    <x v="7"/>
    <x v="244"/>
  </r>
  <r>
    <x v="238"/>
    <x v="3"/>
    <x v="4"/>
    <x v="245"/>
  </r>
  <r>
    <x v="239"/>
    <x v="17"/>
    <x v="10"/>
    <x v="246"/>
  </r>
  <r>
    <x v="240"/>
    <x v="0"/>
    <x v="5"/>
    <x v="247"/>
  </r>
  <r>
    <x v="241"/>
    <x v="0"/>
    <x v="1"/>
    <x v="248"/>
  </r>
  <r>
    <x v="242"/>
    <x v="0"/>
    <x v="3"/>
    <x v="249"/>
  </r>
  <r>
    <x v="243"/>
    <x v="0"/>
    <x v="9"/>
    <x v="250"/>
  </r>
  <r>
    <x v="244"/>
    <x v="0"/>
    <x v="7"/>
    <x v="251"/>
  </r>
  <r>
    <x v="245"/>
    <x v="8"/>
    <x v="13"/>
    <x v="252"/>
  </r>
  <r>
    <x v="246"/>
    <x v="9"/>
    <x v="1"/>
    <x v="253"/>
  </r>
  <r>
    <x v="246"/>
    <x v="9"/>
    <x v="8"/>
    <x v="253"/>
  </r>
  <r>
    <x v="247"/>
    <x v="9"/>
    <x v="1"/>
    <x v="254"/>
  </r>
  <r>
    <x v="248"/>
    <x v="22"/>
    <x v="15"/>
    <x v="255"/>
  </r>
  <r>
    <x v="249"/>
    <x v="9"/>
    <x v="7"/>
    <x v="256"/>
  </r>
  <r>
    <x v="249"/>
    <x v="9"/>
    <x v="5"/>
    <x v="256"/>
  </r>
  <r>
    <x v="250"/>
    <x v="8"/>
    <x v="13"/>
    <x v="257"/>
  </r>
  <r>
    <x v="251"/>
    <x v="0"/>
    <x v="7"/>
    <x v="258"/>
  </r>
  <r>
    <x v="252"/>
    <x v="0"/>
    <x v="3"/>
    <x v="259"/>
  </r>
  <r>
    <x v="253"/>
    <x v="9"/>
    <x v="10"/>
    <x v="260"/>
  </r>
  <r>
    <x v="253"/>
    <x v="9"/>
    <x v="9"/>
    <x v="260"/>
  </r>
  <r>
    <x v="254"/>
    <x v="0"/>
    <x v="8"/>
    <x v="261"/>
  </r>
  <r>
    <x v="255"/>
    <x v="34"/>
    <x v="8"/>
    <x v="262"/>
  </r>
  <r>
    <x v="256"/>
    <x v="3"/>
    <x v="7"/>
    <x v="263"/>
  </r>
  <r>
    <x v="257"/>
    <x v="7"/>
    <x v="6"/>
    <x v="264"/>
  </r>
  <r>
    <x v="258"/>
    <x v="20"/>
    <x v="1"/>
    <x v="265"/>
  </r>
  <r>
    <x v="259"/>
    <x v="4"/>
    <x v="6"/>
    <x v="266"/>
  </r>
  <r>
    <x v="259"/>
    <x v="4"/>
    <x v="10"/>
    <x v="266"/>
  </r>
  <r>
    <x v="260"/>
    <x v="0"/>
    <x v="3"/>
    <x v="267"/>
  </r>
  <r>
    <x v="261"/>
    <x v="7"/>
    <x v="7"/>
    <x v="268"/>
  </r>
  <r>
    <x v="262"/>
    <x v="0"/>
    <x v="1"/>
    <x v="269"/>
  </r>
  <r>
    <x v="262"/>
    <x v="29"/>
    <x v="3"/>
    <x v="270"/>
  </r>
  <r>
    <x v="263"/>
    <x v="14"/>
    <x v="7"/>
    <x v="271"/>
  </r>
  <r>
    <x v="263"/>
    <x v="14"/>
    <x v="6"/>
    <x v="271"/>
  </r>
  <r>
    <x v="264"/>
    <x v="34"/>
    <x v="8"/>
    <x v="272"/>
  </r>
  <r>
    <x v="265"/>
    <x v="35"/>
    <x v="13"/>
    <x v="273"/>
  </r>
  <r>
    <x v="266"/>
    <x v="0"/>
    <x v="4"/>
    <x v="274"/>
  </r>
  <r>
    <x v="267"/>
    <x v="0"/>
    <x v="3"/>
    <x v="275"/>
  </r>
  <r>
    <x v="268"/>
    <x v="9"/>
    <x v="7"/>
    <x v="276"/>
  </r>
  <r>
    <x v="269"/>
    <x v="0"/>
    <x v="4"/>
    <x v="277"/>
  </r>
  <r>
    <x v="270"/>
    <x v="9"/>
    <x v="1"/>
    <x v="278"/>
  </r>
  <r>
    <x v="270"/>
    <x v="9"/>
    <x v="10"/>
    <x v="278"/>
  </r>
  <r>
    <x v="271"/>
    <x v="0"/>
    <x v="4"/>
    <x v="279"/>
  </r>
  <r>
    <x v="272"/>
    <x v="0"/>
    <x v="1"/>
    <x v="280"/>
  </r>
  <r>
    <x v="273"/>
    <x v="6"/>
    <x v="4"/>
    <x v="281"/>
  </r>
  <r>
    <x v="274"/>
    <x v="20"/>
    <x v="9"/>
    <x v="282"/>
  </r>
  <r>
    <x v="274"/>
    <x v="6"/>
    <x v="3"/>
    <x v="283"/>
  </r>
  <r>
    <x v="274"/>
    <x v="6"/>
    <x v="1"/>
    <x v="283"/>
  </r>
  <r>
    <x v="275"/>
    <x v="36"/>
    <x v="8"/>
    <x v="284"/>
  </r>
  <r>
    <x v="275"/>
    <x v="36"/>
    <x v="9"/>
    <x v="284"/>
  </r>
  <r>
    <x v="276"/>
    <x v="2"/>
    <x v="7"/>
    <x v="285"/>
  </r>
  <r>
    <x v="277"/>
    <x v="9"/>
    <x v="4"/>
    <x v="286"/>
  </r>
  <r>
    <x v="277"/>
    <x v="9"/>
    <x v="0"/>
    <x v="286"/>
  </r>
  <r>
    <x v="278"/>
    <x v="7"/>
    <x v="0"/>
    <x v="287"/>
  </r>
  <r>
    <x v="279"/>
    <x v="33"/>
    <x v="8"/>
    <x v="288"/>
  </r>
  <r>
    <x v="280"/>
    <x v="4"/>
    <x v="8"/>
    <x v="289"/>
  </r>
  <r>
    <x v="281"/>
    <x v="20"/>
    <x v="1"/>
    <x v="290"/>
  </r>
  <r>
    <x v="282"/>
    <x v="9"/>
    <x v="3"/>
    <x v="291"/>
  </r>
  <r>
    <x v="282"/>
    <x v="9"/>
    <x v="1"/>
    <x v="291"/>
  </r>
  <r>
    <x v="283"/>
    <x v="6"/>
    <x v="1"/>
    <x v="292"/>
  </r>
  <r>
    <x v="284"/>
    <x v="6"/>
    <x v="3"/>
    <x v="293"/>
  </r>
  <r>
    <x v="284"/>
    <x v="6"/>
    <x v="1"/>
    <x v="293"/>
  </r>
  <r>
    <x v="285"/>
    <x v="7"/>
    <x v="0"/>
    <x v="294"/>
  </r>
  <r>
    <x v="286"/>
    <x v="22"/>
    <x v="17"/>
    <x v="295"/>
  </r>
  <r>
    <x v="287"/>
    <x v="13"/>
    <x v="4"/>
    <x v="296"/>
  </r>
  <r>
    <x v="288"/>
    <x v="0"/>
    <x v="3"/>
    <x v="297"/>
  </r>
  <r>
    <x v="289"/>
    <x v="9"/>
    <x v="0"/>
    <x v="298"/>
  </r>
  <r>
    <x v="290"/>
    <x v="8"/>
    <x v="12"/>
    <x v="299"/>
  </r>
  <r>
    <x v="290"/>
    <x v="8"/>
    <x v="13"/>
    <x v="299"/>
  </r>
  <r>
    <x v="291"/>
    <x v="6"/>
    <x v="1"/>
    <x v="300"/>
  </r>
  <r>
    <x v="292"/>
    <x v="0"/>
    <x v="7"/>
    <x v="301"/>
  </r>
  <r>
    <x v="293"/>
    <x v="8"/>
    <x v="12"/>
    <x v="302"/>
  </r>
  <r>
    <x v="294"/>
    <x v="22"/>
    <x v="15"/>
    <x v="303"/>
  </r>
  <r>
    <x v="295"/>
    <x v="0"/>
    <x v="0"/>
    <x v="304"/>
  </r>
  <r>
    <x v="296"/>
    <x v="3"/>
    <x v="6"/>
    <x v="305"/>
  </r>
  <r>
    <x v="297"/>
    <x v="6"/>
    <x v="4"/>
    <x v="306"/>
  </r>
  <r>
    <x v="298"/>
    <x v="0"/>
    <x v="4"/>
    <x v="307"/>
  </r>
  <r>
    <x v="299"/>
    <x v="22"/>
    <x v="17"/>
    <x v="308"/>
  </r>
  <r>
    <x v="300"/>
    <x v="11"/>
    <x v="8"/>
    <x v="309"/>
  </r>
  <r>
    <x v="300"/>
    <x v="11"/>
    <x v="0"/>
    <x v="309"/>
  </r>
  <r>
    <x v="301"/>
    <x v="9"/>
    <x v="4"/>
    <x v="310"/>
  </r>
  <r>
    <x v="302"/>
    <x v="9"/>
    <x v="1"/>
    <x v="311"/>
  </r>
  <r>
    <x v="302"/>
    <x v="9"/>
    <x v="8"/>
    <x v="311"/>
  </r>
  <r>
    <x v="303"/>
    <x v="22"/>
    <x v="15"/>
    <x v="312"/>
  </r>
  <r>
    <x v="304"/>
    <x v="9"/>
    <x v="10"/>
    <x v="313"/>
  </r>
  <r>
    <x v="304"/>
    <x v="9"/>
    <x v="9"/>
    <x v="313"/>
  </r>
  <r>
    <x v="305"/>
    <x v="0"/>
    <x v="8"/>
    <x v="314"/>
  </r>
  <r>
    <x v="306"/>
    <x v="3"/>
    <x v="4"/>
    <x v="315"/>
  </r>
  <r>
    <x v="307"/>
    <x v="4"/>
    <x v="5"/>
    <x v="316"/>
  </r>
  <r>
    <x v="307"/>
    <x v="4"/>
    <x v="9"/>
    <x v="316"/>
  </r>
  <r>
    <x v="308"/>
    <x v="0"/>
    <x v="1"/>
    <x v="317"/>
  </r>
  <r>
    <x v="309"/>
    <x v="9"/>
    <x v="3"/>
    <x v="318"/>
  </r>
  <r>
    <x v="309"/>
    <x v="9"/>
    <x v="1"/>
    <x v="318"/>
  </r>
  <r>
    <x v="310"/>
    <x v="4"/>
    <x v="8"/>
    <x v="319"/>
  </r>
  <r>
    <x v="310"/>
    <x v="4"/>
    <x v="9"/>
    <x v="319"/>
  </r>
  <r>
    <x v="311"/>
    <x v="9"/>
    <x v="4"/>
    <x v="320"/>
  </r>
  <r>
    <x v="312"/>
    <x v="37"/>
    <x v="13"/>
    <x v="321"/>
  </r>
  <r>
    <x v="313"/>
    <x v="0"/>
    <x v="0"/>
    <x v="322"/>
  </r>
  <r>
    <x v="314"/>
    <x v="9"/>
    <x v="3"/>
    <x v="323"/>
  </r>
  <r>
    <x v="314"/>
    <x v="9"/>
    <x v="7"/>
    <x v="323"/>
  </r>
  <r>
    <x v="315"/>
    <x v="5"/>
    <x v="2"/>
    <x v="324"/>
  </r>
  <r>
    <x v="316"/>
    <x v="0"/>
    <x v="4"/>
    <x v="325"/>
  </r>
  <r>
    <x v="317"/>
    <x v="3"/>
    <x v="4"/>
    <x v="326"/>
  </r>
  <r>
    <x v="318"/>
    <x v="4"/>
    <x v="8"/>
    <x v="327"/>
  </r>
  <r>
    <x v="319"/>
    <x v="12"/>
    <x v="9"/>
    <x v="328"/>
  </r>
  <r>
    <x v="319"/>
    <x v="12"/>
    <x v="0"/>
    <x v="328"/>
  </r>
  <r>
    <x v="320"/>
    <x v="7"/>
    <x v="8"/>
    <x v="329"/>
  </r>
  <r>
    <x v="321"/>
    <x v="9"/>
    <x v="1"/>
    <x v="330"/>
  </r>
  <r>
    <x v="321"/>
    <x v="9"/>
    <x v="9"/>
    <x v="330"/>
  </r>
  <r>
    <x v="322"/>
    <x v="12"/>
    <x v="5"/>
    <x v="331"/>
  </r>
  <r>
    <x v="322"/>
    <x v="12"/>
    <x v="6"/>
    <x v="331"/>
  </r>
  <r>
    <x v="323"/>
    <x v="3"/>
    <x v="3"/>
    <x v="332"/>
  </r>
  <r>
    <x v="324"/>
    <x v="8"/>
    <x v="12"/>
    <x v="333"/>
  </r>
  <r>
    <x v="325"/>
    <x v="9"/>
    <x v="4"/>
    <x v="334"/>
  </r>
  <r>
    <x v="325"/>
    <x v="9"/>
    <x v="0"/>
    <x v="334"/>
  </r>
  <r>
    <x v="326"/>
    <x v="0"/>
    <x v="3"/>
    <x v="335"/>
  </r>
  <r>
    <x v="327"/>
    <x v="9"/>
    <x v="1"/>
    <x v="336"/>
  </r>
  <r>
    <x v="327"/>
    <x v="9"/>
    <x v="4"/>
    <x v="336"/>
  </r>
  <r>
    <x v="328"/>
    <x v="7"/>
    <x v="9"/>
    <x v="337"/>
  </r>
  <r>
    <x v="329"/>
    <x v="9"/>
    <x v="4"/>
    <x v="338"/>
  </r>
  <r>
    <x v="329"/>
    <x v="9"/>
    <x v="0"/>
    <x v="338"/>
  </r>
  <r>
    <x v="330"/>
    <x v="12"/>
    <x v="9"/>
    <x v="339"/>
  </r>
  <r>
    <x v="330"/>
    <x v="12"/>
    <x v="0"/>
    <x v="339"/>
  </r>
  <r>
    <x v="331"/>
    <x v="25"/>
    <x v="8"/>
    <x v="340"/>
  </r>
  <r>
    <x v="332"/>
    <x v="7"/>
    <x v="0"/>
    <x v="341"/>
  </r>
  <r>
    <x v="333"/>
    <x v="8"/>
    <x v="12"/>
    <x v="342"/>
  </r>
  <r>
    <x v="333"/>
    <x v="8"/>
    <x v="13"/>
    <x v="342"/>
  </r>
  <r>
    <x v="334"/>
    <x v="4"/>
    <x v="8"/>
    <x v="343"/>
  </r>
  <r>
    <x v="334"/>
    <x v="4"/>
    <x v="9"/>
    <x v="343"/>
  </r>
  <r>
    <x v="335"/>
    <x v="4"/>
    <x v="8"/>
    <x v="344"/>
  </r>
  <r>
    <x v="335"/>
    <x v="4"/>
    <x v="9"/>
    <x v="344"/>
  </r>
  <r>
    <x v="336"/>
    <x v="9"/>
    <x v="10"/>
    <x v="345"/>
  </r>
  <r>
    <x v="337"/>
    <x v="9"/>
    <x v="4"/>
    <x v="346"/>
  </r>
  <r>
    <x v="337"/>
    <x v="9"/>
    <x v="0"/>
    <x v="346"/>
  </r>
  <r>
    <x v="338"/>
    <x v="17"/>
    <x v="15"/>
    <x v="347"/>
  </r>
  <r>
    <x v="339"/>
    <x v="1"/>
    <x v="2"/>
    <x v="348"/>
  </r>
  <r>
    <x v="339"/>
    <x v="1"/>
    <x v="0"/>
    <x v="348"/>
  </r>
  <r>
    <x v="340"/>
    <x v="0"/>
    <x v="1"/>
    <x v="349"/>
  </r>
  <r>
    <x v="341"/>
    <x v="8"/>
    <x v="14"/>
    <x v="350"/>
  </r>
  <r>
    <x v="342"/>
    <x v="0"/>
    <x v="8"/>
    <x v="351"/>
  </r>
  <r>
    <x v="343"/>
    <x v="0"/>
    <x v="3"/>
    <x v="352"/>
  </r>
  <r>
    <x v="344"/>
    <x v="0"/>
    <x v="4"/>
    <x v="353"/>
  </r>
  <r>
    <x v="345"/>
    <x v="20"/>
    <x v="8"/>
    <x v="354"/>
  </r>
  <r>
    <x v="346"/>
    <x v="9"/>
    <x v="4"/>
    <x v="355"/>
  </r>
  <r>
    <x v="347"/>
    <x v="22"/>
    <x v="15"/>
    <x v="356"/>
  </r>
  <r>
    <x v="348"/>
    <x v="9"/>
    <x v="9"/>
    <x v="357"/>
  </r>
  <r>
    <x v="349"/>
    <x v="3"/>
    <x v="4"/>
    <x v="358"/>
  </r>
  <r>
    <x v="350"/>
    <x v="37"/>
    <x v="12"/>
    <x v="359"/>
  </r>
  <r>
    <x v="351"/>
    <x v="3"/>
    <x v="10"/>
    <x v="360"/>
  </r>
  <r>
    <x v="352"/>
    <x v="0"/>
    <x v="0"/>
    <x v="361"/>
  </r>
  <r>
    <x v="353"/>
    <x v="33"/>
    <x v="11"/>
    <x v="362"/>
  </r>
  <r>
    <x v="354"/>
    <x v="3"/>
    <x v="7"/>
    <x v="363"/>
  </r>
  <r>
    <x v="355"/>
    <x v="22"/>
    <x v="5"/>
    <x v="364"/>
  </r>
  <r>
    <x v="356"/>
    <x v="8"/>
    <x v="14"/>
    <x v="365"/>
  </r>
  <r>
    <x v="357"/>
    <x v="3"/>
    <x v="4"/>
    <x v="366"/>
  </r>
  <r>
    <x v="358"/>
    <x v="9"/>
    <x v="0"/>
    <x v="367"/>
  </r>
  <r>
    <x v="359"/>
    <x v="0"/>
    <x v="3"/>
    <x v="368"/>
  </r>
  <r>
    <x v="360"/>
    <x v="20"/>
    <x v="8"/>
    <x v="369"/>
  </r>
  <r>
    <x v="360"/>
    <x v="20"/>
    <x v="9"/>
    <x v="369"/>
  </r>
  <r>
    <x v="361"/>
    <x v="3"/>
    <x v="1"/>
    <x v="370"/>
  </r>
  <r>
    <x v="362"/>
    <x v="13"/>
    <x v="7"/>
    <x v="371"/>
  </r>
  <r>
    <x v="363"/>
    <x v="23"/>
    <x v="4"/>
    <x v="372"/>
  </r>
  <r>
    <x v="364"/>
    <x v="7"/>
    <x v="8"/>
    <x v="373"/>
  </r>
  <r>
    <x v="365"/>
    <x v="10"/>
    <x v="3"/>
    <x v="374"/>
  </r>
  <r>
    <x v="365"/>
    <x v="10"/>
    <x v="1"/>
    <x v="374"/>
  </r>
  <r>
    <x v="365"/>
    <x v="10"/>
    <x v="8"/>
    <x v="374"/>
  </r>
  <r>
    <x v="365"/>
    <x v="10"/>
    <x v="9"/>
    <x v="374"/>
  </r>
  <r>
    <x v="366"/>
    <x v="33"/>
    <x v="0"/>
    <x v="375"/>
  </r>
  <r>
    <x v="367"/>
    <x v="0"/>
    <x v="4"/>
    <x v="376"/>
  </r>
  <r>
    <x v="368"/>
    <x v="5"/>
    <x v="9"/>
    <x v="377"/>
  </r>
  <r>
    <x v="369"/>
    <x v="7"/>
    <x v="5"/>
    <x v="378"/>
  </r>
  <r>
    <x v="369"/>
    <x v="2"/>
    <x v="7"/>
    <x v="379"/>
  </r>
  <r>
    <x v="370"/>
    <x v="4"/>
    <x v="8"/>
    <x v="380"/>
  </r>
  <r>
    <x v="370"/>
    <x v="4"/>
    <x v="9"/>
    <x v="380"/>
  </r>
  <r>
    <x v="371"/>
    <x v="38"/>
    <x v="3"/>
    <x v="381"/>
  </r>
  <r>
    <x v="372"/>
    <x v="9"/>
    <x v="10"/>
    <x v="382"/>
  </r>
  <r>
    <x v="372"/>
    <x v="9"/>
    <x v="9"/>
    <x v="382"/>
  </r>
  <r>
    <x v="373"/>
    <x v="17"/>
    <x v="17"/>
    <x v="383"/>
  </r>
  <r>
    <x v="374"/>
    <x v="27"/>
    <x v="10"/>
    <x v="384"/>
  </r>
  <r>
    <x v="375"/>
    <x v="22"/>
    <x v="15"/>
    <x v="385"/>
  </r>
  <r>
    <x v="376"/>
    <x v="9"/>
    <x v="4"/>
    <x v="386"/>
  </r>
  <r>
    <x v="376"/>
    <x v="9"/>
    <x v="0"/>
    <x v="386"/>
  </r>
  <r>
    <x v="377"/>
    <x v="0"/>
    <x v="4"/>
    <x v="387"/>
  </r>
  <r>
    <x v="378"/>
    <x v="9"/>
    <x v="4"/>
    <x v="388"/>
  </r>
  <r>
    <x v="379"/>
    <x v="7"/>
    <x v="8"/>
    <x v="389"/>
  </r>
  <r>
    <x v="380"/>
    <x v="0"/>
    <x v="0"/>
    <x v="390"/>
  </r>
  <r>
    <x v="381"/>
    <x v="39"/>
    <x v="8"/>
    <x v="391"/>
  </r>
  <r>
    <x v="381"/>
    <x v="39"/>
    <x v="9"/>
    <x v="391"/>
  </r>
  <r>
    <x v="382"/>
    <x v="0"/>
    <x v="4"/>
    <x v="392"/>
  </r>
  <r>
    <x v="383"/>
    <x v="3"/>
    <x v="4"/>
    <x v="393"/>
  </r>
  <r>
    <x v="384"/>
    <x v="1"/>
    <x v="2"/>
    <x v="394"/>
  </r>
  <r>
    <x v="384"/>
    <x v="1"/>
    <x v="0"/>
    <x v="394"/>
  </r>
  <r>
    <x v="385"/>
    <x v="27"/>
    <x v="7"/>
    <x v="395"/>
  </r>
  <r>
    <x v="386"/>
    <x v="40"/>
    <x v="3"/>
    <x v="396"/>
  </r>
  <r>
    <x v="387"/>
    <x v="27"/>
    <x v="8"/>
    <x v="397"/>
  </r>
  <r>
    <x v="388"/>
    <x v="4"/>
    <x v="8"/>
    <x v="398"/>
  </r>
  <r>
    <x v="388"/>
    <x v="4"/>
    <x v="9"/>
    <x v="398"/>
  </r>
  <r>
    <x v="388"/>
    <x v="34"/>
    <x v="0"/>
    <x v="399"/>
  </r>
  <r>
    <x v="389"/>
    <x v="11"/>
    <x v="0"/>
    <x v="400"/>
  </r>
  <r>
    <x v="390"/>
    <x v="20"/>
    <x v="9"/>
    <x v="401"/>
  </r>
  <r>
    <x v="391"/>
    <x v="20"/>
    <x v="0"/>
    <x v="402"/>
  </r>
  <r>
    <x v="392"/>
    <x v="37"/>
    <x v="13"/>
    <x v="403"/>
  </r>
  <r>
    <x v="393"/>
    <x v="0"/>
    <x v="10"/>
    <x v="404"/>
  </r>
  <r>
    <x v="394"/>
    <x v="0"/>
    <x v="1"/>
    <x v="405"/>
  </r>
  <r>
    <x v="395"/>
    <x v="8"/>
    <x v="13"/>
    <x v="406"/>
  </r>
  <r>
    <x v="396"/>
    <x v="0"/>
    <x v="0"/>
    <x v="407"/>
  </r>
  <r>
    <x v="397"/>
    <x v="0"/>
    <x v="1"/>
    <x v="408"/>
  </r>
  <r>
    <x v="398"/>
    <x v="0"/>
    <x v="1"/>
    <x v="409"/>
  </r>
  <r>
    <x v="399"/>
    <x v="7"/>
    <x v="9"/>
    <x v="410"/>
  </r>
  <r>
    <x v="400"/>
    <x v="33"/>
    <x v="7"/>
    <x v="411"/>
  </r>
  <r>
    <x v="401"/>
    <x v="12"/>
    <x v="8"/>
    <x v="412"/>
  </r>
  <r>
    <x v="401"/>
    <x v="12"/>
    <x v="9"/>
    <x v="412"/>
  </r>
  <r>
    <x v="401"/>
    <x v="3"/>
    <x v="1"/>
    <x v="413"/>
  </r>
  <r>
    <x v="402"/>
    <x v="0"/>
    <x v="7"/>
    <x v="414"/>
  </r>
  <r>
    <x v="403"/>
    <x v="9"/>
    <x v="10"/>
    <x v="415"/>
  </r>
  <r>
    <x v="404"/>
    <x v="0"/>
    <x v="5"/>
    <x v="416"/>
  </r>
  <r>
    <x v="405"/>
    <x v="3"/>
    <x v="1"/>
    <x v="417"/>
  </r>
  <r>
    <x v="406"/>
    <x v="0"/>
    <x v="12"/>
    <x v="418"/>
  </r>
  <r>
    <x v="407"/>
    <x v="7"/>
    <x v="0"/>
    <x v="419"/>
  </r>
  <r>
    <x v="408"/>
    <x v="41"/>
    <x v="3"/>
    <x v="420"/>
  </r>
  <r>
    <x v="409"/>
    <x v="7"/>
    <x v="5"/>
    <x v="421"/>
  </r>
  <r>
    <x v="410"/>
    <x v="40"/>
    <x v="3"/>
    <x v="422"/>
  </r>
  <r>
    <x v="411"/>
    <x v="12"/>
    <x v="8"/>
    <x v="423"/>
  </r>
  <r>
    <x v="411"/>
    <x v="12"/>
    <x v="9"/>
    <x v="423"/>
  </r>
  <r>
    <x v="412"/>
    <x v="20"/>
    <x v="0"/>
    <x v="424"/>
  </r>
  <r>
    <x v="413"/>
    <x v="0"/>
    <x v="1"/>
    <x v="425"/>
  </r>
  <r>
    <x v="414"/>
    <x v="12"/>
    <x v="5"/>
    <x v="426"/>
  </r>
  <r>
    <x v="415"/>
    <x v="6"/>
    <x v="7"/>
    <x v="427"/>
  </r>
  <r>
    <x v="415"/>
    <x v="6"/>
    <x v="1"/>
    <x v="427"/>
  </r>
  <r>
    <x v="416"/>
    <x v="22"/>
    <x v="15"/>
    <x v="428"/>
  </r>
  <r>
    <x v="417"/>
    <x v="9"/>
    <x v="7"/>
    <x v="429"/>
  </r>
  <r>
    <x v="417"/>
    <x v="9"/>
    <x v="5"/>
    <x v="429"/>
  </r>
  <r>
    <x v="418"/>
    <x v="9"/>
    <x v="1"/>
    <x v="430"/>
  </r>
  <r>
    <x v="418"/>
    <x v="9"/>
    <x v="10"/>
    <x v="430"/>
  </r>
  <r>
    <x v="419"/>
    <x v="22"/>
    <x v="15"/>
    <x v="431"/>
  </r>
  <r>
    <x v="420"/>
    <x v="12"/>
    <x v="16"/>
    <x v="432"/>
  </r>
  <r>
    <x v="420"/>
    <x v="12"/>
    <x v="6"/>
    <x v="432"/>
  </r>
  <r>
    <x v="421"/>
    <x v="37"/>
    <x v="14"/>
    <x v="433"/>
  </r>
  <r>
    <x v="422"/>
    <x v="9"/>
    <x v="1"/>
    <x v="434"/>
  </r>
  <r>
    <x v="423"/>
    <x v="9"/>
    <x v="3"/>
    <x v="435"/>
  </r>
  <r>
    <x v="423"/>
    <x v="9"/>
    <x v="4"/>
    <x v="435"/>
  </r>
  <r>
    <x v="424"/>
    <x v="42"/>
    <x v="3"/>
    <x v="436"/>
  </r>
  <r>
    <x v="425"/>
    <x v="29"/>
    <x v="8"/>
    <x v="437"/>
  </r>
  <r>
    <x v="426"/>
    <x v="4"/>
    <x v="8"/>
    <x v="438"/>
  </r>
  <r>
    <x v="426"/>
    <x v="4"/>
    <x v="6"/>
    <x v="438"/>
  </r>
  <r>
    <x v="427"/>
    <x v="0"/>
    <x v="1"/>
    <x v="439"/>
  </r>
  <r>
    <x v="427"/>
    <x v="0"/>
    <x v="8"/>
    <x v="439"/>
  </r>
  <r>
    <x v="428"/>
    <x v="8"/>
    <x v="13"/>
    <x v="440"/>
  </r>
  <r>
    <x v="429"/>
    <x v="0"/>
    <x v="15"/>
    <x v="441"/>
  </r>
  <r>
    <x v="429"/>
    <x v="43"/>
    <x v="15"/>
    <x v="442"/>
  </r>
  <r>
    <x v="430"/>
    <x v="0"/>
    <x v="9"/>
    <x v="443"/>
  </r>
  <r>
    <x v="431"/>
    <x v="0"/>
    <x v="7"/>
    <x v="444"/>
  </r>
  <r>
    <x v="431"/>
    <x v="40"/>
    <x v="3"/>
    <x v="445"/>
  </r>
  <r>
    <x v="432"/>
    <x v="4"/>
    <x v="8"/>
    <x v="446"/>
  </r>
  <r>
    <x v="432"/>
    <x v="4"/>
    <x v="9"/>
    <x v="446"/>
  </r>
  <r>
    <x v="433"/>
    <x v="3"/>
    <x v="7"/>
    <x v="447"/>
  </r>
  <r>
    <x v="434"/>
    <x v="4"/>
    <x v="4"/>
    <x v="448"/>
  </r>
  <r>
    <x v="434"/>
    <x v="4"/>
    <x v="0"/>
    <x v="448"/>
  </r>
  <r>
    <x v="435"/>
    <x v="3"/>
    <x v="10"/>
    <x v="449"/>
  </r>
  <r>
    <x v="436"/>
    <x v="0"/>
    <x v="1"/>
    <x v="450"/>
  </r>
  <r>
    <x v="436"/>
    <x v="44"/>
    <x v="0"/>
    <x v="451"/>
  </r>
  <r>
    <x v="436"/>
    <x v="0"/>
    <x v="3"/>
    <x v="452"/>
  </r>
  <r>
    <x v="436"/>
    <x v="45"/>
    <x v="3"/>
    <x v="453"/>
  </r>
  <r>
    <x v="437"/>
    <x v="0"/>
    <x v="4"/>
    <x v="454"/>
  </r>
  <r>
    <x v="438"/>
    <x v="7"/>
    <x v="5"/>
    <x v="455"/>
  </r>
  <r>
    <x v="439"/>
    <x v="9"/>
    <x v="1"/>
    <x v="456"/>
  </r>
  <r>
    <x v="440"/>
    <x v="20"/>
    <x v="9"/>
    <x v="457"/>
  </r>
  <r>
    <x v="441"/>
    <x v="22"/>
    <x v="15"/>
    <x v="458"/>
  </r>
  <r>
    <x v="442"/>
    <x v="23"/>
    <x v="12"/>
    <x v="459"/>
  </r>
  <r>
    <x v="442"/>
    <x v="23"/>
    <x v="13"/>
    <x v="459"/>
  </r>
  <r>
    <x v="443"/>
    <x v="9"/>
    <x v="10"/>
    <x v="460"/>
  </r>
  <r>
    <x v="443"/>
    <x v="9"/>
    <x v="9"/>
    <x v="460"/>
  </r>
  <r>
    <x v="444"/>
    <x v="4"/>
    <x v="4"/>
    <x v="461"/>
  </r>
  <r>
    <x v="445"/>
    <x v="22"/>
    <x v="16"/>
    <x v="462"/>
  </r>
  <r>
    <x v="446"/>
    <x v="3"/>
    <x v="7"/>
    <x v="463"/>
  </r>
  <r>
    <x v="447"/>
    <x v="23"/>
    <x v="1"/>
    <x v="464"/>
  </r>
  <r>
    <x v="447"/>
    <x v="23"/>
    <x v="8"/>
    <x v="464"/>
  </r>
  <r>
    <x v="448"/>
    <x v="0"/>
    <x v="9"/>
    <x v="465"/>
  </r>
  <r>
    <x v="449"/>
    <x v="0"/>
    <x v="7"/>
    <x v="466"/>
  </r>
  <r>
    <x v="450"/>
    <x v="33"/>
    <x v="7"/>
    <x v="467"/>
  </r>
  <r>
    <x v="451"/>
    <x v="3"/>
    <x v="3"/>
    <x v="468"/>
  </r>
  <r>
    <x v="452"/>
    <x v="4"/>
    <x v="9"/>
    <x v="469"/>
  </r>
  <r>
    <x v="453"/>
    <x v="0"/>
    <x v="1"/>
    <x v="470"/>
  </r>
  <r>
    <x v="454"/>
    <x v="0"/>
    <x v="5"/>
    <x v="471"/>
  </r>
  <r>
    <x v="455"/>
    <x v="8"/>
    <x v="13"/>
    <x v="472"/>
  </r>
  <r>
    <x v="456"/>
    <x v="7"/>
    <x v="9"/>
    <x v="473"/>
  </r>
  <r>
    <x v="457"/>
    <x v="3"/>
    <x v="7"/>
    <x v="474"/>
  </r>
  <r>
    <x v="458"/>
    <x v="8"/>
    <x v="13"/>
    <x v="475"/>
  </r>
  <r>
    <x v="459"/>
    <x v="20"/>
    <x v="0"/>
    <x v="476"/>
  </r>
  <r>
    <x v="460"/>
    <x v="9"/>
    <x v="4"/>
    <x v="477"/>
  </r>
  <r>
    <x v="460"/>
    <x v="9"/>
    <x v="0"/>
    <x v="477"/>
  </r>
  <r>
    <x v="461"/>
    <x v="46"/>
    <x v="9"/>
    <x v="478"/>
  </r>
  <r>
    <x v="462"/>
    <x v="0"/>
    <x v="1"/>
    <x v="479"/>
  </r>
  <r>
    <x v="463"/>
    <x v="47"/>
    <x v="0"/>
    <x v="480"/>
  </r>
  <r>
    <x v="464"/>
    <x v="14"/>
    <x v="6"/>
    <x v="481"/>
  </r>
  <r>
    <x v="465"/>
    <x v="0"/>
    <x v="1"/>
    <x v="482"/>
  </r>
  <r>
    <x v="466"/>
    <x v="7"/>
    <x v="0"/>
    <x v="483"/>
  </r>
  <r>
    <x v="467"/>
    <x v="37"/>
    <x v="12"/>
    <x v="484"/>
  </r>
  <r>
    <x v="468"/>
    <x v="4"/>
    <x v="6"/>
    <x v="485"/>
  </r>
  <r>
    <x v="469"/>
    <x v="4"/>
    <x v="8"/>
    <x v="486"/>
  </r>
  <r>
    <x v="469"/>
    <x v="4"/>
    <x v="6"/>
    <x v="486"/>
  </r>
  <r>
    <x v="470"/>
    <x v="8"/>
    <x v="12"/>
    <x v="487"/>
  </r>
  <r>
    <x v="471"/>
    <x v="0"/>
    <x v="1"/>
    <x v="488"/>
  </r>
  <r>
    <x v="472"/>
    <x v="35"/>
    <x v="6"/>
    <x v="489"/>
  </r>
  <r>
    <x v="473"/>
    <x v="22"/>
    <x v="15"/>
    <x v="490"/>
  </r>
  <r>
    <x v="474"/>
    <x v="8"/>
    <x v="12"/>
    <x v="491"/>
  </r>
  <r>
    <x v="475"/>
    <x v="39"/>
    <x v="8"/>
    <x v="492"/>
  </r>
  <r>
    <x v="475"/>
    <x v="39"/>
    <x v="9"/>
    <x v="492"/>
  </r>
  <r>
    <x v="476"/>
    <x v="46"/>
    <x v="14"/>
    <x v="493"/>
  </r>
  <r>
    <x v="476"/>
    <x v="37"/>
    <x v="12"/>
    <x v="494"/>
  </r>
  <r>
    <x v="477"/>
    <x v="17"/>
    <x v="16"/>
    <x v="495"/>
  </r>
  <r>
    <x v="478"/>
    <x v="20"/>
    <x v="0"/>
    <x v="496"/>
  </r>
  <r>
    <x v="479"/>
    <x v="48"/>
    <x v="17"/>
    <x v="497"/>
  </r>
  <r>
    <x v="480"/>
    <x v="20"/>
    <x v="1"/>
    <x v="498"/>
  </r>
  <r>
    <x v="481"/>
    <x v="23"/>
    <x v="8"/>
    <x v="499"/>
  </r>
  <r>
    <x v="481"/>
    <x v="23"/>
    <x v="6"/>
    <x v="499"/>
  </r>
  <r>
    <x v="482"/>
    <x v="3"/>
    <x v="3"/>
    <x v="500"/>
  </r>
  <r>
    <x v="483"/>
    <x v="20"/>
    <x v="0"/>
    <x v="501"/>
  </r>
  <r>
    <x v="484"/>
    <x v="3"/>
    <x v="4"/>
    <x v="502"/>
  </r>
  <r>
    <x v="485"/>
    <x v="0"/>
    <x v="7"/>
    <x v="503"/>
  </r>
  <r>
    <x v="486"/>
    <x v="9"/>
    <x v="1"/>
    <x v="504"/>
  </r>
  <r>
    <x v="486"/>
    <x v="9"/>
    <x v="8"/>
    <x v="504"/>
  </r>
  <r>
    <x v="487"/>
    <x v="49"/>
    <x v="6"/>
    <x v="505"/>
  </r>
  <r>
    <x v="488"/>
    <x v="50"/>
    <x v="8"/>
    <x v="506"/>
  </r>
  <r>
    <x v="489"/>
    <x v="3"/>
    <x v="3"/>
    <x v="507"/>
  </r>
  <r>
    <x v="490"/>
    <x v="0"/>
    <x v="4"/>
    <x v="508"/>
  </r>
  <r>
    <x v="491"/>
    <x v="8"/>
    <x v="14"/>
    <x v="509"/>
  </r>
  <r>
    <x v="492"/>
    <x v="8"/>
    <x v="12"/>
    <x v="510"/>
  </r>
  <r>
    <x v="493"/>
    <x v="51"/>
    <x v="10"/>
    <x v="511"/>
  </r>
  <r>
    <x v="494"/>
    <x v="9"/>
    <x v="1"/>
    <x v="512"/>
  </r>
  <r>
    <x v="494"/>
    <x v="9"/>
    <x v="8"/>
    <x v="512"/>
  </r>
  <r>
    <x v="495"/>
    <x v="0"/>
    <x v="8"/>
    <x v="513"/>
  </r>
  <r>
    <x v="496"/>
    <x v="0"/>
    <x v="7"/>
    <x v="514"/>
  </r>
  <r>
    <x v="497"/>
    <x v="47"/>
    <x v="4"/>
    <x v="515"/>
  </r>
  <r>
    <x v="497"/>
    <x v="47"/>
    <x v="0"/>
    <x v="515"/>
  </r>
  <r>
    <x v="498"/>
    <x v="0"/>
    <x v="4"/>
    <x v="516"/>
  </r>
  <r>
    <x v="499"/>
    <x v="7"/>
    <x v="0"/>
    <x v="517"/>
  </r>
  <r>
    <x v="500"/>
    <x v="20"/>
    <x v="8"/>
    <x v="518"/>
  </r>
  <r>
    <x v="501"/>
    <x v="3"/>
    <x v="1"/>
    <x v="519"/>
  </r>
  <r>
    <x v="502"/>
    <x v="52"/>
    <x v="4"/>
    <x v="520"/>
  </r>
  <r>
    <x v="502"/>
    <x v="52"/>
    <x v="0"/>
    <x v="520"/>
  </r>
  <r>
    <x v="503"/>
    <x v="1"/>
    <x v="0"/>
    <x v="521"/>
  </r>
  <r>
    <x v="504"/>
    <x v="4"/>
    <x v="8"/>
    <x v="522"/>
  </r>
  <r>
    <x v="504"/>
    <x v="4"/>
    <x v="9"/>
    <x v="522"/>
  </r>
  <r>
    <x v="505"/>
    <x v="0"/>
    <x v="3"/>
    <x v="523"/>
  </r>
  <r>
    <x v="506"/>
    <x v="7"/>
    <x v="8"/>
    <x v="524"/>
  </r>
  <r>
    <x v="507"/>
    <x v="4"/>
    <x v="5"/>
    <x v="525"/>
  </r>
  <r>
    <x v="507"/>
    <x v="4"/>
    <x v="9"/>
    <x v="525"/>
  </r>
  <r>
    <x v="507"/>
    <x v="2"/>
    <x v="7"/>
    <x v="526"/>
  </r>
  <r>
    <x v="508"/>
    <x v="53"/>
    <x v="14"/>
    <x v="527"/>
  </r>
  <r>
    <x v="509"/>
    <x v="0"/>
    <x v="3"/>
    <x v="528"/>
  </r>
  <r>
    <x v="510"/>
    <x v="4"/>
    <x v="0"/>
    <x v="529"/>
  </r>
  <r>
    <x v="511"/>
    <x v="12"/>
    <x v="9"/>
    <x v="530"/>
  </r>
  <r>
    <x v="512"/>
    <x v="6"/>
    <x v="3"/>
    <x v="531"/>
  </r>
  <r>
    <x v="512"/>
    <x v="6"/>
    <x v="10"/>
    <x v="531"/>
  </r>
  <r>
    <x v="513"/>
    <x v="0"/>
    <x v="8"/>
    <x v="532"/>
  </r>
  <r>
    <x v="514"/>
    <x v="3"/>
    <x v="4"/>
    <x v="533"/>
  </r>
  <r>
    <x v="515"/>
    <x v="4"/>
    <x v="9"/>
    <x v="534"/>
  </r>
  <r>
    <x v="515"/>
    <x v="4"/>
    <x v="0"/>
    <x v="534"/>
  </r>
  <r>
    <x v="516"/>
    <x v="0"/>
    <x v="4"/>
    <x v="535"/>
  </r>
  <r>
    <x v="517"/>
    <x v="7"/>
    <x v="9"/>
    <x v="536"/>
  </r>
  <r>
    <x v="518"/>
    <x v="4"/>
    <x v="9"/>
    <x v="537"/>
  </r>
  <r>
    <x v="518"/>
    <x v="4"/>
    <x v="4"/>
    <x v="537"/>
  </r>
  <r>
    <x v="518"/>
    <x v="4"/>
    <x v="0"/>
    <x v="537"/>
  </r>
  <r>
    <x v="519"/>
    <x v="7"/>
    <x v="0"/>
    <x v="538"/>
  </r>
  <r>
    <x v="520"/>
    <x v="17"/>
    <x v="15"/>
    <x v="539"/>
  </r>
  <r>
    <x v="521"/>
    <x v="22"/>
    <x v="15"/>
    <x v="540"/>
  </r>
  <r>
    <x v="522"/>
    <x v="3"/>
    <x v="7"/>
    <x v="541"/>
  </r>
  <r>
    <x v="523"/>
    <x v="13"/>
    <x v="4"/>
    <x v="542"/>
  </r>
  <r>
    <x v="524"/>
    <x v="0"/>
    <x v="0"/>
    <x v="543"/>
  </r>
  <r>
    <x v="525"/>
    <x v="0"/>
    <x v="3"/>
    <x v="544"/>
  </r>
  <r>
    <x v="526"/>
    <x v="4"/>
    <x v="8"/>
    <x v="545"/>
  </r>
  <r>
    <x v="526"/>
    <x v="4"/>
    <x v="9"/>
    <x v="545"/>
  </r>
  <r>
    <x v="527"/>
    <x v="0"/>
    <x v="1"/>
    <x v="546"/>
  </r>
  <r>
    <x v="528"/>
    <x v="9"/>
    <x v="10"/>
    <x v="547"/>
  </r>
  <r>
    <x v="528"/>
    <x v="9"/>
    <x v="9"/>
    <x v="547"/>
  </r>
  <r>
    <x v="529"/>
    <x v="0"/>
    <x v="4"/>
    <x v="548"/>
  </r>
  <r>
    <x v="530"/>
    <x v="0"/>
    <x v="5"/>
    <x v="549"/>
  </r>
  <r>
    <x v="531"/>
    <x v="12"/>
    <x v="4"/>
    <x v="550"/>
  </r>
  <r>
    <x v="531"/>
    <x v="12"/>
    <x v="0"/>
    <x v="550"/>
  </r>
  <r>
    <x v="532"/>
    <x v="3"/>
    <x v="3"/>
    <x v="551"/>
  </r>
  <r>
    <x v="533"/>
    <x v="3"/>
    <x v="3"/>
    <x v="552"/>
  </r>
  <r>
    <x v="534"/>
    <x v="9"/>
    <x v="5"/>
    <x v="553"/>
  </r>
  <r>
    <x v="534"/>
    <x v="9"/>
    <x v="9"/>
    <x v="553"/>
  </r>
  <r>
    <x v="535"/>
    <x v="23"/>
    <x v="4"/>
    <x v="554"/>
  </r>
  <r>
    <x v="535"/>
    <x v="23"/>
    <x v="0"/>
    <x v="554"/>
  </r>
  <r>
    <x v="536"/>
    <x v="4"/>
    <x v="8"/>
    <x v="555"/>
  </r>
  <r>
    <x v="536"/>
    <x v="4"/>
    <x v="9"/>
    <x v="555"/>
  </r>
  <r>
    <x v="537"/>
    <x v="9"/>
    <x v="5"/>
    <x v="556"/>
  </r>
  <r>
    <x v="537"/>
    <x v="9"/>
    <x v="9"/>
    <x v="556"/>
  </r>
  <r>
    <x v="538"/>
    <x v="0"/>
    <x v="3"/>
    <x v="557"/>
  </r>
  <r>
    <x v="539"/>
    <x v="0"/>
    <x v="4"/>
    <x v="558"/>
  </r>
  <r>
    <x v="540"/>
    <x v="9"/>
    <x v="9"/>
    <x v="559"/>
  </r>
  <r>
    <x v="540"/>
    <x v="9"/>
    <x v="0"/>
    <x v="559"/>
  </r>
  <r>
    <x v="541"/>
    <x v="0"/>
    <x v="5"/>
    <x v="560"/>
  </r>
  <r>
    <x v="542"/>
    <x v="4"/>
    <x v="9"/>
    <x v="561"/>
  </r>
  <r>
    <x v="543"/>
    <x v="12"/>
    <x v="6"/>
    <x v="562"/>
  </r>
  <r>
    <x v="544"/>
    <x v="0"/>
    <x v="1"/>
    <x v="563"/>
  </r>
  <r>
    <x v="545"/>
    <x v="7"/>
    <x v="0"/>
    <x v="564"/>
  </r>
  <r>
    <x v="546"/>
    <x v="9"/>
    <x v="7"/>
    <x v="565"/>
  </r>
  <r>
    <x v="546"/>
    <x v="9"/>
    <x v="10"/>
    <x v="565"/>
  </r>
  <r>
    <x v="547"/>
    <x v="6"/>
    <x v="3"/>
    <x v="566"/>
  </r>
  <r>
    <x v="547"/>
    <x v="6"/>
    <x v="1"/>
    <x v="566"/>
  </r>
  <r>
    <x v="548"/>
    <x v="54"/>
    <x v="3"/>
    <x v="567"/>
  </r>
  <r>
    <x v="548"/>
    <x v="54"/>
    <x v="7"/>
    <x v="567"/>
  </r>
  <r>
    <x v="549"/>
    <x v="19"/>
    <x v="9"/>
    <x v="568"/>
  </r>
  <r>
    <x v="550"/>
    <x v="0"/>
    <x v="7"/>
    <x v="569"/>
  </r>
  <r>
    <x v="551"/>
    <x v="9"/>
    <x v="4"/>
    <x v="570"/>
  </r>
  <r>
    <x v="552"/>
    <x v="0"/>
    <x v="1"/>
    <x v="571"/>
  </r>
  <r>
    <x v="553"/>
    <x v="41"/>
    <x v="8"/>
    <x v="572"/>
  </r>
  <r>
    <x v="553"/>
    <x v="41"/>
    <x v="9"/>
    <x v="572"/>
  </r>
  <r>
    <x v="554"/>
    <x v="9"/>
    <x v="10"/>
    <x v="573"/>
  </r>
  <r>
    <x v="554"/>
    <x v="9"/>
    <x v="9"/>
    <x v="573"/>
  </r>
  <r>
    <x v="555"/>
    <x v="9"/>
    <x v="4"/>
    <x v="574"/>
  </r>
  <r>
    <x v="556"/>
    <x v="0"/>
    <x v="1"/>
    <x v="575"/>
  </r>
  <r>
    <x v="557"/>
    <x v="33"/>
    <x v="12"/>
    <x v="576"/>
  </r>
  <r>
    <x v="558"/>
    <x v="3"/>
    <x v="6"/>
    <x v="577"/>
  </r>
  <r>
    <x v="559"/>
    <x v="0"/>
    <x v="3"/>
    <x v="578"/>
  </r>
  <r>
    <x v="560"/>
    <x v="53"/>
    <x v="14"/>
    <x v="579"/>
  </r>
  <r>
    <x v="561"/>
    <x v="20"/>
    <x v="8"/>
    <x v="580"/>
  </r>
  <r>
    <x v="562"/>
    <x v="7"/>
    <x v="0"/>
    <x v="581"/>
  </r>
  <r>
    <x v="563"/>
    <x v="20"/>
    <x v="0"/>
    <x v="582"/>
  </r>
  <r>
    <x v="564"/>
    <x v="6"/>
    <x v="10"/>
    <x v="583"/>
  </r>
  <r>
    <x v="564"/>
    <x v="6"/>
    <x v="9"/>
    <x v="583"/>
  </r>
  <r>
    <x v="565"/>
    <x v="3"/>
    <x v="1"/>
    <x v="584"/>
  </r>
  <r>
    <x v="566"/>
    <x v="9"/>
    <x v="3"/>
    <x v="585"/>
  </r>
  <r>
    <x v="566"/>
    <x v="9"/>
    <x v="10"/>
    <x v="585"/>
  </r>
  <r>
    <x v="567"/>
    <x v="9"/>
    <x v="8"/>
    <x v="586"/>
  </r>
  <r>
    <x v="567"/>
    <x v="9"/>
    <x v="4"/>
    <x v="586"/>
  </r>
  <r>
    <x v="568"/>
    <x v="0"/>
    <x v="7"/>
    <x v="587"/>
  </r>
  <r>
    <x v="569"/>
    <x v="12"/>
    <x v="9"/>
    <x v="588"/>
  </r>
  <r>
    <x v="569"/>
    <x v="12"/>
    <x v="0"/>
    <x v="588"/>
  </r>
  <r>
    <x v="570"/>
    <x v="23"/>
    <x v="1"/>
    <x v="589"/>
  </r>
  <r>
    <x v="570"/>
    <x v="23"/>
    <x v="8"/>
    <x v="589"/>
  </r>
  <r>
    <x v="571"/>
    <x v="13"/>
    <x v="4"/>
    <x v="590"/>
  </r>
  <r>
    <x v="572"/>
    <x v="0"/>
    <x v="3"/>
    <x v="591"/>
  </r>
  <r>
    <x v="573"/>
    <x v="9"/>
    <x v="1"/>
    <x v="592"/>
  </r>
  <r>
    <x v="574"/>
    <x v="33"/>
    <x v="9"/>
    <x v="593"/>
  </r>
  <r>
    <x v="574"/>
    <x v="33"/>
    <x v="4"/>
    <x v="593"/>
  </r>
  <r>
    <x v="574"/>
    <x v="33"/>
    <x v="0"/>
    <x v="593"/>
  </r>
  <r>
    <x v="575"/>
    <x v="9"/>
    <x v="8"/>
    <x v="594"/>
  </r>
  <r>
    <x v="576"/>
    <x v="18"/>
    <x v="5"/>
    <x v="595"/>
  </r>
  <r>
    <x v="577"/>
    <x v="33"/>
    <x v="4"/>
    <x v="596"/>
  </r>
  <r>
    <x v="578"/>
    <x v="33"/>
    <x v="8"/>
    <x v="597"/>
  </r>
  <r>
    <x v="579"/>
    <x v="0"/>
    <x v="3"/>
    <x v="598"/>
  </r>
  <r>
    <x v="580"/>
    <x v="0"/>
    <x v="1"/>
    <x v="599"/>
  </r>
  <r>
    <x v="581"/>
    <x v="0"/>
    <x v="0"/>
    <x v="600"/>
  </r>
  <r>
    <x v="582"/>
    <x v="0"/>
    <x v="3"/>
    <x v="601"/>
  </r>
  <r>
    <x v="583"/>
    <x v="7"/>
    <x v="9"/>
    <x v="602"/>
  </r>
  <r>
    <x v="584"/>
    <x v="6"/>
    <x v="3"/>
    <x v="603"/>
  </r>
  <r>
    <x v="584"/>
    <x v="6"/>
    <x v="1"/>
    <x v="603"/>
  </r>
  <r>
    <x v="585"/>
    <x v="20"/>
    <x v="0"/>
    <x v="604"/>
  </r>
  <r>
    <x v="586"/>
    <x v="3"/>
    <x v="3"/>
    <x v="605"/>
  </r>
  <r>
    <x v="587"/>
    <x v="17"/>
    <x v="15"/>
    <x v="606"/>
  </r>
  <r>
    <x v="588"/>
    <x v="34"/>
    <x v="9"/>
    <x v="607"/>
  </r>
  <r>
    <x v="589"/>
    <x v="13"/>
    <x v="7"/>
    <x v="608"/>
  </r>
  <r>
    <x v="590"/>
    <x v="3"/>
    <x v="3"/>
    <x v="609"/>
  </r>
  <r>
    <x v="591"/>
    <x v="33"/>
    <x v="9"/>
    <x v="610"/>
  </r>
  <r>
    <x v="592"/>
    <x v="8"/>
    <x v="13"/>
    <x v="611"/>
  </r>
  <r>
    <x v="593"/>
    <x v="41"/>
    <x v="3"/>
    <x v="612"/>
  </r>
  <r>
    <x v="594"/>
    <x v="9"/>
    <x v="3"/>
    <x v="613"/>
  </r>
  <r>
    <x v="594"/>
    <x v="9"/>
    <x v="1"/>
    <x v="613"/>
  </r>
  <r>
    <x v="595"/>
    <x v="0"/>
    <x v="1"/>
    <x v="614"/>
  </r>
  <r>
    <x v="596"/>
    <x v="34"/>
    <x v="8"/>
    <x v="615"/>
  </r>
  <r>
    <x v="597"/>
    <x v="4"/>
    <x v="5"/>
    <x v="616"/>
  </r>
  <r>
    <x v="597"/>
    <x v="4"/>
    <x v="6"/>
    <x v="616"/>
  </r>
  <r>
    <x v="598"/>
    <x v="0"/>
    <x v="0"/>
    <x v="617"/>
  </r>
  <r>
    <x v="598"/>
    <x v="0"/>
    <x v="4"/>
    <x v="618"/>
  </r>
  <r>
    <x v="599"/>
    <x v="38"/>
    <x v="3"/>
    <x v="619"/>
  </r>
  <r>
    <x v="600"/>
    <x v="9"/>
    <x v="3"/>
    <x v="620"/>
  </r>
  <r>
    <x v="600"/>
    <x v="9"/>
    <x v="1"/>
    <x v="620"/>
  </r>
  <r>
    <x v="600"/>
    <x v="9"/>
    <x v="8"/>
    <x v="620"/>
  </r>
  <r>
    <x v="600"/>
    <x v="6"/>
    <x v="4"/>
    <x v="621"/>
  </r>
  <r>
    <x v="600"/>
    <x v="6"/>
    <x v="0"/>
    <x v="621"/>
  </r>
  <r>
    <x v="601"/>
    <x v="3"/>
    <x v="7"/>
    <x v="622"/>
  </r>
  <r>
    <x v="602"/>
    <x v="20"/>
    <x v="0"/>
    <x v="623"/>
  </r>
  <r>
    <x v="603"/>
    <x v="0"/>
    <x v="0"/>
    <x v="624"/>
  </r>
  <r>
    <x v="604"/>
    <x v="0"/>
    <x v="10"/>
    <x v="625"/>
  </r>
  <r>
    <x v="605"/>
    <x v="17"/>
    <x v="15"/>
    <x v="6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D337B-7648-6745-B028-2E3A7531C057}" name="Сводная таблица12" cacheId="5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T43" firstHeaderRow="1" firstDataRow="2" firstDataCol="1"/>
  <pivotFields count="6">
    <pivotField showAll="0">
      <items count="6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t="default"/>
      </items>
    </pivotField>
    <pivotField dataField="1" numFmtId="4" showAll="0">
      <items count="56">
        <item x="46"/>
        <item x="45"/>
        <item x="10"/>
        <item x="36"/>
        <item x="24"/>
        <item x="14"/>
        <item x="39"/>
        <item x="26"/>
        <item x="5"/>
        <item x="47"/>
        <item x="28"/>
        <item x="32"/>
        <item x="4"/>
        <item x="12"/>
        <item x="41"/>
        <item x="18"/>
        <item x="19"/>
        <item x="2"/>
        <item x="1"/>
        <item x="34"/>
        <item x="29"/>
        <item x="17"/>
        <item x="16"/>
        <item x="7"/>
        <item x="15"/>
        <item x="22"/>
        <item x="6"/>
        <item x="27"/>
        <item x="38"/>
        <item x="30"/>
        <item x="52"/>
        <item x="9"/>
        <item x="21"/>
        <item x="44"/>
        <item x="31"/>
        <item x="43"/>
        <item x="54"/>
        <item x="33"/>
        <item x="3"/>
        <item x="23"/>
        <item x="42"/>
        <item x="40"/>
        <item x="20"/>
        <item x="50"/>
        <item x="13"/>
        <item x="0"/>
        <item x="51"/>
        <item x="11"/>
        <item x="37"/>
        <item x="25"/>
        <item x="8"/>
        <item x="35"/>
        <item x="48"/>
        <item x="53"/>
        <item x="49"/>
        <item t="default"/>
      </items>
    </pivotField>
    <pivotField axis="axisCol" showAll="0">
      <items count="19">
        <item x="2"/>
        <item x="6"/>
        <item x="10"/>
        <item x="9"/>
        <item x="4"/>
        <item x="0"/>
        <item x="11"/>
        <item x="15"/>
        <item x="12"/>
        <item x="13"/>
        <item x="14"/>
        <item x="3"/>
        <item x="7"/>
        <item x="5"/>
        <item x="16"/>
        <item x="17"/>
        <item x="1"/>
        <item x="8"/>
        <item t="default"/>
      </items>
    </pivotField>
    <pivotField numFmtId="164" showAll="0">
      <items count="628">
        <item x="450"/>
        <item x="451"/>
        <item x="459"/>
        <item x="441"/>
        <item x="497"/>
        <item x="132"/>
        <item x="589"/>
        <item x="163"/>
        <item x="127"/>
        <item x="229"/>
        <item x="138"/>
        <item x="288"/>
        <item x="226"/>
        <item x="299"/>
        <item x="303"/>
        <item x="302"/>
        <item x="333"/>
        <item x="170"/>
        <item x="493"/>
        <item x="597"/>
        <item x="342"/>
        <item x="475"/>
        <item x="321"/>
        <item x="498"/>
        <item x="255"/>
        <item x="265"/>
        <item x="25"/>
        <item x="187"/>
        <item x="47"/>
        <item x="536"/>
        <item x="54"/>
        <item x="572"/>
        <item x="489"/>
        <item x="316"/>
        <item x="423"/>
        <item x="6"/>
        <item x="378"/>
        <item x="550"/>
        <item x="467"/>
        <item x="272"/>
        <item x="7"/>
        <item x="33"/>
        <item x="530"/>
        <item x="421"/>
        <item x="534"/>
        <item x="529"/>
        <item x="262"/>
        <item x="341"/>
        <item x="239"/>
        <item x="438"/>
        <item x="121"/>
        <item x="485"/>
        <item x="165"/>
        <item x="328"/>
        <item x="136"/>
        <item x="75"/>
        <item x="231"/>
        <item x="524"/>
        <item x="432"/>
        <item x="411"/>
        <item x="164"/>
        <item x="32"/>
        <item x="426"/>
        <item x="171"/>
        <item x="268"/>
        <item x="588"/>
        <item x="538"/>
        <item x="616"/>
        <item x="287"/>
        <item x="211"/>
        <item x="473"/>
        <item x="398"/>
        <item x="91"/>
        <item x="238"/>
        <item x="545"/>
        <item x="130"/>
        <item x="18"/>
        <item x="38"/>
        <item x="210"/>
        <item x="364"/>
        <item x="344"/>
        <item x="53"/>
        <item x="561"/>
        <item x="492"/>
        <item x="65"/>
        <item x="343"/>
        <item x="410"/>
        <item x="58"/>
        <item x="448"/>
        <item x="373"/>
        <item x="294"/>
        <item x="98"/>
        <item x="329"/>
        <item x="568"/>
        <item x="595"/>
        <item x="180"/>
        <item x="339"/>
        <item x="139"/>
        <item x="40"/>
        <item x="505"/>
        <item x="478"/>
        <item x="337"/>
        <item x="11"/>
        <item x="380"/>
        <item x="389"/>
        <item x="188"/>
        <item x="486"/>
        <item x="327"/>
        <item x="412"/>
        <item x="581"/>
        <item x="615"/>
        <item x="607"/>
        <item x="66"/>
        <item x="105"/>
        <item x="62"/>
        <item x="191"/>
        <item x="377"/>
        <item x="290"/>
        <item x="331"/>
        <item x="391"/>
        <item x="232"/>
        <item x="86"/>
        <item x="383"/>
        <item x="63"/>
        <item x="446"/>
        <item x="455"/>
        <item x="227"/>
        <item x="525"/>
        <item x="495"/>
        <item x="57"/>
        <item x="461"/>
        <item x="95"/>
        <item x="190"/>
        <item x="562"/>
        <item x="85"/>
        <item x="155"/>
        <item x="462"/>
        <item x="108"/>
        <item x="162"/>
        <item x="168"/>
        <item x="517"/>
        <item x="483"/>
        <item x="221"/>
        <item x="264"/>
        <item x="419"/>
        <item x="602"/>
        <item x="537"/>
        <item x="88"/>
        <item x="20"/>
        <item x="15"/>
        <item x="68"/>
        <item x="515"/>
        <item x="52"/>
        <item x="480"/>
        <item x="626"/>
        <item x="564"/>
        <item x="399"/>
        <item x="606"/>
        <item x="177"/>
        <item x="428"/>
        <item x="289"/>
        <item x="347"/>
        <item x="84"/>
        <item x="144"/>
        <item x="312"/>
        <item x="319"/>
        <item x="469"/>
        <item x="522"/>
        <item x="113"/>
        <item x="183"/>
        <item x="555"/>
        <item x="46"/>
        <item x="266"/>
        <item x="240"/>
        <item x="340"/>
        <item x="41"/>
        <item x="554"/>
        <item x="476"/>
        <item x="397"/>
        <item x="539"/>
        <item x="604"/>
        <item x="174"/>
        <item x="356"/>
        <item x="372"/>
        <item x="67"/>
        <item x="437"/>
        <item x="350"/>
        <item x="282"/>
        <item x="133"/>
        <item x="179"/>
        <item x="156"/>
        <item x="212"/>
        <item x="81"/>
        <item x="234"/>
        <item x="490"/>
        <item x="45"/>
        <item x="458"/>
        <item x="324"/>
        <item x="464"/>
        <item x="401"/>
        <item x="431"/>
        <item x="284"/>
        <item x="166"/>
        <item x="131"/>
        <item x="499"/>
        <item x="501"/>
        <item x="582"/>
        <item x="496"/>
        <item x="457"/>
        <item x="134"/>
        <item x="145"/>
        <item x="369"/>
        <item x="540"/>
        <item x="580"/>
        <item x="354"/>
        <item x="494"/>
        <item x="623"/>
        <item x="77"/>
        <item x="72"/>
        <item x="424"/>
        <item x="484"/>
        <item x="295"/>
        <item x="593"/>
        <item x="395"/>
        <item x="610"/>
        <item x="359"/>
        <item x="402"/>
        <item x="518"/>
        <item x="509"/>
        <item x="149"/>
        <item x="103"/>
        <item x="203"/>
        <item x="596"/>
        <item x="94"/>
        <item x="71"/>
        <item x="452"/>
        <item x="222"/>
        <item x="160"/>
        <item x="215"/>
        <item x="379"/>
        <item x="285"/>
        <item x="301"/>
        <item x="361"/>
        <item x="474"/>
        <item x="89"/>
        <item x="254"/>
        <item x="513"/>
        <item x="381"/>
        <item x="543"/>
        <item x="619"/>
        <item x="502"/>
        <item x="4"/>
        <item x="613"/>
        <item x="16"/>
        <item x="305"/>
        <item x="246"/>
        <item x="382"/>
        <item x="224"/>
        <item x="204"/>
        <item x="269"/>
        <item x="577"/>
        <item x="346"/>
        <item x="213"/>
        <item x="225"/>
        <item x="119"/>
        <item x="532"/>
        <item x="320"/>
        <item x="30"/>
        <item x="599"/>
        <item x="349"/>
        <item x="243"/>
        <item x="463"/>
        <item x="100"/>
        <item x="598"/>
        <item x="73"/>
        <item x="449"/>
        <item x="235"/>
        <item x="315"/>
        <item x="241"/>
        <item x="442"/>
        <item x="176"/>
        <item x="323"/>
        <item x="152"/>
        <item x="298"/>
        <item x="575"/>
        <item x="531"/>
        <item x="435"/>
        <item x="220"/>
        <item x="375"/>
        <item x="560"/>
        <item x="109"/>
        <item x="306"/>
        <item x="97"/>
        <item x="207"/>
        <item x="557"/>
        <item x="263"/>
        <item x="368"/>
        <item x="217"/>
        <item x="106"/>
        <item x="93"/>
        <item x="365"/>
        <item x="456"/>
        <item x="219"/>
        <item x="567"/>
        <item x="436"/>
        <item x="506"/>
        <item x="249"/>
        <item x="275"/>
        <item x="547"/>
        <item x="376"/>
        <item x="143"/>
        <item x="196"/>
        <item x="491"/>
        <item x="87"/>
        <item x="198"/>
        <item x="112"/>
        <item x="307"/>
        <item x="205"/>
        <item x="270"/>
        <item x="601"/>
        <item x="172"/>
        <item x="169"/>
        <item x="471"/>
        <item x="151"/>
        <item x="117"/>
        <item x="122"/>
        <item x="140"/>
        <item x="479"/>
        <item x="578"/>
        <item x="142"/>
        <item x="206"/>
        <item x="468"/>
        <item x="276"/>
        <item x="167"/>
        <item x="429"/>
        <item x="570"/>
        <item x="625"/>
        <item x="182"/>
        <item x="617"/>
        <item x="482"/>
        <item x="261"/>
        <item x="605"/>
        <item x="137"/>
        <item x="523"/>
        <item x="544"/>
        <item x="189"/>
        <item x="586"/>
        <item x="195"/>
        <item x="39"/>
        <item x="61"/>
        <item x="10"/>
        <item x="123"/>
        <item x="181"/>
        <item x="223"/>
        <item x="330"/>
        <item x="297"/>
        <item x="29"/>
        <item x="322"/>
        <item x="242"/>
        <item x="348"/>
        <item x="403"/>
        <item x="146"/>
        <item x="248"/>
        <item x="27"/>
        <item x="101"/>
        <item x="500"/>
        <item x="444"/>
        <item x="603"/>
        <item x="293"/>
        <item x="553"/>
        <item x="591"/>
        <item x="549"/>
        <item x="445"/>
        <item x="422"/>
        <item x="292"/>
        <item x="552"/>
        <item x="148"/>
        <item x="83"/>
        <item x="78"/>
        <item x="583"/>
        <item x="453"/>
        <item x="259"/>
        <item x="247"/>
        <item x="24"/>
        <item x="584"/>
        <item x="281"/>
        <item x="13"/>
        <item x="92"/>
        <item x="556"/>
        <item x="161"/>
        <item x="135"/>
        <item x="274"/>
        <item x="396"/>
        <item x="414"/>
        <item x="514"/>
        <item x="26"/>
        <item x="520"/>
        <item x="3"/>
        <item x="618"/>
        <item x="313"/>
        <item x="245"/>
        <item x="79"/>
        <item x="175"/>
        <item x="279"/>
        <item x="332"/>
        <item x="309"/>
        <item x="400"/>
        <item x="193"/>
        <item x="512"/>
        <item x="304"/>
        <item x="199"/>
        <item x="542"/>
        <item x="434"/>
        <item x="116"/>
        <item x="253"/>
        <item x="147"/>
        <item x="565"/>
        <item x="230"/>
        <item x="34"/>
        <item x="237"/>
        <item x="185"/>
        <item x="351"/>
        <item x="115"/>
        <item x="90"/>
        <item x="141"/>
        <item x="37"/>
        <item x="576"/>
        <item x="296"/>
        <item x="503"/>
        <item x="573"/>
        <item x="569"/>
        <item x="430"/>
        <item x="186"/>
        <item x="250"/>
        <item x="50"/>
        <item x="559"/>
        <item x="541"/>
        <item x="273"/>
        <item x="129"/>
        <item x="394"/>
        <item x="363"/>
        <item x="590"/>
        <item x="433"/>
        <item x="510"/>
        <item x="271"/>
        <item x="5"/>
        <item x="415"/>
        <item x="35"/>
        <item x="466"/>
        <item x="521"/>
        <item x="280"/>
        <item x="526"/>
        <item x="405"/>
        <item x="278"/>
        <item x="8"/>
        <item x="209"/>
        <item x="236"/>
        <item x="338"/>
        <item x="385"/>
        <item x="360"/>
        <item x="353"/>
        <item x="258"/>
        <item x="326"/>
        <item x="413"/>
        <item x="612"/>
        <item x="579"/>
        <item x="420"/>
        <item x="2"/>
        <item x="620"/>
        <item x="371"/>
        <item x="125"/>
        <item x="507"/>
        <item x="334"/>
        <item x="608"/>
        <item x="388"/>
        <item x="325"/>
        <item x="362"/>
        <item x="392"/>
        <item x="384"/>
        <item x="600"/>
        <item x="387"/>
        <item x="28"/>
        <item x="310"/>
        <item x="311"/>
        <item x="14"/>
        <item x="201"/>
        <item x="592"/>
        <item x="202"/>
        <item x="594"/>
        <item x="487"/>
        <item x="439"/>
        <item x="96"/>
        <item x="0"/>
        <item x="393"/>
        <item x="43"/>
        <item x="317"/>
        <item x="519"/>
        <item x="609"/>
        <item x="404"/>
        <item x="158"/>
        <item x="551"/>
        <item x="528"/>
        <item x="336"/>
        <item x="31"/>
        <item x="407"/>
        <item x="504"/>
        <item x="533"/>
        <item x="159"/>
        <item x="118"/>
        <item x="535"/>
        <item x="244"/>
        <item x="417"/>
        <item x="277"/>
        <item x="48"/>
        <item x="416"/>
        <item x="17"/>
        <item x="370"/>
        <item x="256"/>
        <item x="558"/>
        <item x="477"/>
        <item x="574"/>
        <item x="443"/>
        <item x="173"/>
        <item x="251"/>
        <item x="1"/>
        <item x="425"/>
        <item x="614"/>
        <item x="69"/>
        <item x="214"/>
        <item x="128"/>
        <item x="622"/>
        <item x="110"/>
        <item x="408"/>
        <item x="358"/>
        <item x="23"/>
        <item x="571"/>
        <item x="178"/>
        <item x="511"/>
        <item x="386"/>
        <item x="60"/>
        <item x="563"/>
        <item x="150"/>
        <item x="427"/>
        <item x="192"/>
        <item x="587"/>
        <item x="76"/>
        <item x="19"/>
        <item x="154"/>
        <item x="42"/>
        <item x="197"/>
        <item x="107"/>
        <item x="283"/>
        <item x="56"/>
        <item x="44"/>
        <item x="335"/>
        <item x="300"/>
        <item x="153"/>
        <item x="59"/>
        <item x="157"/>
        <item x="488"/>
        <item x="621"/>
        <item x="21"/>
        <item x="352"/>
        <item x="49"/>
        <item x="114"/>
        <item x="374"/>
        <item x="447"/>
        <item x="55"/>
        <item x="22"/>
        <item x="51"/>
        <item x="267"/>
        <item x="314"/>
        <item x="184"/>
        <item x="9"/>
        <item x="318"/>
        <item x="546"/>
        <item x="99"/>
        <item x="465"/>
        <item x="286"/>
        <item x="308"/>
        <item x="257"/>
        <item x="355"/>
        <item x="367"/>
        <item x="409"/>
        <item x="548"/>
        <item x="406"/>
        <item x="624"/>
        <item x="611"/>
        <item x="470"/>
        <item x="64"/>
        <item x="233"/>
        <item x="12"/>
        <item x="481"/>
        <item x="126"/>
        <item x="508"/>
        <item x="102"/>
        <item x="111"/>
        <item x="120"/>
        <item x="104"/>
        <item x="208"/>
        <item x="218"/>
        <item x="260"/>
        <item x="252"/>
        <item x="527"/>
        <item x="74"/>
        <item x="80"/>
        <item x="566"/>
        <item x="440"/>
        <item x="516"/>
        <item x="70"/>
        <item x="472"/>
        <item x="194"/>
        <item x="82"/>
        <item x="366"/>
        <item x="228"/>
        <item x="454"/>
        <item x="291"/>
        <item x="390"/>
        <item x="216"/>
        <item x="585"/>
        <item x="345"/>
        <item x="357"/>
        <item x="124"/>
        <item x="460"/>
        <item x="36"/>
        <item x="418"/>
        <item x="20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9"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 t="grand">
      <x/>
    </i>
  </rowItems>
  <colFields count="1">
    <field x="2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Сумма" fld="1" baseField="0" baseItem="0" numFmtId="4"/>
  </dataFields>
  <formats count="6">
    <format dxfId="6">
      <pivotArea dataOnly="0" fieldPosition="0">
        <references count="1">
          <reference field="4" count="1">
            <x v="222"/>
          </reference>
        </references>
      </pivotArea>
    </format>
    <format dxfId="5">
      <pivotArea dataOnly="0" fieldPosition="0">
        <references count="1">
          <reference field="4" count="1">
            <x v="221"/>
          </reference>
        </references>
      </pivotArea>
    </format>
    <format dxfId="4">
      <pivotArea collapsedLevelsAreSubtotals="1" fieldPosition="0">
        <references count="1">
          <reference field="4" count="1">
            <x v="221"/>
          </reference>
        </references>
      </pivotArea>
    </format>
    <format dxfId="3">
      <pivotArea dataOnly="0" labelOnly="1" fieldPosition="0">
        <references count="1">
          <reference field="4" count="1">
            <x v="221"/>
          </reference>
        </references>
      </pivotArea>
    </format>
    <format dxfId="2">
      <pivotArea collapsedLevelsAreSubtotals="1" fieldPosition="0">
        <references count="1">
          <reference field="4" count="1">
            <x v="222"/>
          </reference>
        </references>
      </pivotArea>
    </format>
    <format dxfId="1">
      <pivotArea dataOnly="0" labelOnly="1" fieldPosition="0">
        <references count="1">
          <reference field="4" count="1">
            <x v="2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ataTable" displayName="CaseDataTable" ref="A1:E1048576" totalsRowShown="0">
  <autoFilter ref="A1:E1048576" xr:uid="{00000000-000C-0000-FFFF-FFFF00000000}"/>
  <sortState xmlns:xlrd2="http://schemas.microsoft.com/office/spreadsheetml/2017/richdata2" ref="A2:E796">
    <sortCondition ref="D1:D1048576"/>
  </sortState>
  <tableColumns count="5">
    <tableColumn id="1" xr3:uid="{00000000-0010-0000-0000-000001000000}" name="Номер студента"/>
    <tableColumn id="2" xr3:uid="{00000000-0010-0000-0000-000002000000}" name="Сумма"/>
    <tableColumn id="3" xr3:uid="{00000000-0010-0000-0000-000003000000}" name="Курс"/>
    <tableColumn id="4" xr3:uid="{00000000-0010-0000-0000-000004000000}" name="Время"/>
    <tableColumn id="5" xr3:uid="{6BEA35DC-5FD5-FD44-92CE-DFA35F0221B1}" name="Дата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73EB7-D448-764A-9E70-AAFEA3CCD318}" name="Таблица35" displayName="Таблица35" ref="B4:G16" totalsRowShown="0">
  <autoFilter ref="B4:G16" xr:uid="{04C73EB7-D448-764A-9E70-AAFEA3CCD318}"/>
  <tableColumns count="6">
    <tableColumn id="1" xr3:uid="{D15D1BC2-A533-B747-80D6-9073D0DC539F}" name="Дата" dataDxfId="0"/>
    <tableColumn id="2" xr3:uid="{C450F878-36C1-A143-8C34-C67CC5454250}" name="Каналы"/>
    <tableColumn id="3" xr3:uid="{B3F183F2-64DE-9143-8CF1-91731400B11C}" name="Кол-во Подписчиков"/>
    <tableColumn id="4" xr3:uid="{173878C1-0A49-AF4B-B8C2-B6D136E4495F}" name="Кол-во Просмотров"/>
    <tableColumn id="5" xr3:uid="{038AFA06-23E2-AD4B-BD09-976547C54824}" name="Просм/Подписч">
      <calculatedColumnFormula>E5/D5 *100</calculatedColumnFormula>
    </tableColumn>
    <tableColumn id="6" xr3:uid="{03A81C46-C8E7-5843-90A4-05ABED22B9FF}" name="Статус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tgstat.ru/channel/@analytess/92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opLeftCell="A58" workbookViewId="0">
      <selection activeCell="M43" sqref="M43"/>
    </sheetView>
  </sheetViews>
  <sheetFormatPr baseColWidth="10" defaultColWidth="8.83203125" defaultRowHeight="14"/>
  <cols>
    <col min="1" max="1" width="18" customWidth="1"/>
    <col min="2" max="2" width="14" customWidth="1"/>
    <col min="3" max="3" width="28" customWidth="1"/>
    <col min="4" max="4" width="22" customWidth="1"/>
    <col min="5" max="5" width="17.83203125" bestFit="1" customWidth="1"/>
    <col min="8" max="8" width="1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t="s">
        <v>64</v>
      </c>
    </row>
    <row r="2" spans="1:19">
      <c r="A2">
        <v>437</v>
      </c>
      <c r="B2" s="2">
        <v>8950</v>
      </c>
      <c r="C2" t="s">
        <v>4</v>
      </c>
      <c r="D2" s="3">
        <v>46238.380914351852</v>
      </c>
      <c r="E2" s="7">
        <f>CaseDataTable[[#This Row],[Время]]</f>
        <v>46238.380914351852</v>
      </c>
      <c r="H2" t="s">
        <v>91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>
      <c r="A3">
        <v>437</v>
      </c>
      <c r="B3" s="2">
        <v>7890</v>
      </c>
      <c r="C3" t="s">
        <v>5</v>
      </c>
      <c r="D3" s="3">
        <v>46238.399305555555</v>
      </c>
      <c r="E3" s="7">
        <f>CaseDataTable[[#This Row],[Время]]</f>
        <v>46238.399305555555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>
      <c r="A4">
        <v>443</v>
      </c>
      <c r="B4" s="2">
        <v>8475</v>
      </c>
      <c r="C4" t="s">
        <v>6</v>
      </c>
      <c r="D4" s="3">
        <v>46238.426828703705</v>
      </c>
      <c r="E4" s="7">
        <f>CaseDataTable[[#This Row],[Время]]</f>
        <v>46238.426828703705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>
      <c r="A5">
        <v>443</v>
      </c>
      <c r="B5" s="2">
        <v>8475</v>
      </c>
      <c r="C5" t="s">
        <v>7</v>
      </c>
      <c r="D5" s="3">
        <v>46238.426828703705</v>
      </c>
      <c r="E5" s="7">
        <f>CaseDataTable[[#This Row],[Время]]</f>
        <v>46238.426828703705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>
        <v>430</v>
      </c>
      <c r="B6" s="2">
        <v>8950</v>
      </c>
      <c r="C6" t="s">
        <v>8</v>
      </c>
      <c r="D6" s="3">
        <v>46238.568124999998</v>
      </c>
      <c r="E6" s="7">
        <f>CaseDataTable[[#This Row],[Время]]</f>
        <v>46238.568124999998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>
      <c r="A7">
        <v>480</v>
      </c>
      <c r="B7" s="2">
        <v>15695</v>
      </c>
      <c r="C7" t="s">
        <v>9</v>
      </c>
      <c r="D7" s="3">
        <v>46238.67869212963</v>
      </c>
      <c r="E7" s="7">
        <f>CaseDataTable[[#This Row],[Время]]</f>
        <v>46238.67869212963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>
      <c r="A8">
        <v>131</v>
      </c>
      <c r="B8" s="2">
        <v>8745</v>
      </c>
      <c r="C8" t="s">
        <v>10</v>
      </c>
      <c r="D8" s="3">
        <v>46238.712337962963</v>
      </c>
      <c r="E8" s="7">
        <f>CaseDataTable[[#This Row],[Время]]</f>
        <v>46238.712337962963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>
      <c r="A9">
        <v>571</v>
      </c>
      <c r="B9" s="2">
        <v>8475</v>
      </c>
      <c r="C9" t="s">
        <v>4</v>
      </c>
      <c r="D9" s="3">
        <v>46238.722129629627</v>
      </c>
      <c r="E9" s="7">
        <f>CaseDataTable[[#This Row],[Время]]</f>
        <v>46238.722129629627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>
      <c r="A10">
        <v>571</v>
      </c>
      <c r="B10" s="2">
        <v>8475</v>
      </c>
      <c r="C10" t="s">
        <v>11</v>
      </c>
      <c r="D10" s="3">
        <v>46238.722129629627</v>
      </c>
      <c r="E10" s="7">
        <f>CaseDataTable[[#This Row],[Время]]</f>
        <v>46238.722129629627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>
      <c r="A11">
        <v>159</v>
      </c>
      <c r="B11" s="2">
        <v>8475</v>
      </c>
      <c r="C11" t="s">
        <v>12</v>
      </c>
      <c r="D11" s="3">
        <v>46239.539259259262</v>
      </c>
      <c r="E11" s="7">
        <f>CaseDataTable[[#This Row],[Время]]</f>
        <v>46239.539259259262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>
      <c r="A12">
        <v>159</v>
      </c>
      <c r="B12" s="2">
        <v>8475</v>
      </c>
      <c r="C12" t="s">
        <v>10</v>
      </c>
      <c r="D12" s="3">
        <v>46239.539259259262</v>
      </c>
      <c r="E12" s="7">
        <f>CaseDataTable[[#This Row],[Время]]</f>
        <v>46239.539259259262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>
      <c r="A13">
        <v>126</v>
      </c>
      <c r="B13" s="2">
        <v>8745</v>
      </c>
      <c r="C13" t="s">
        <v>11</v>
      </c>
      <c r="D13" s="3">
        <v>46239.55741898148</v>
      </c>
      <c r="E13" s="7">
        <f>CaseDataTable[[#This Row],[Время]]</f>
        <v>46239.55741898148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>
      <c r="A14">
        <v>225</v>
      </c>
      <c r="B14" s="2">
        <v>8745</v>
      </c>
      <c r="C14" t="s">
        <v>13</v>
      </c>
      <c r="D14" s="3">
        <v>46239.599004629628</v>
      </c>
      <c r="E14" s="7">
        <f>CaseDataTable[[#This Row],[Время]]</f>
        <v>46239.599004629628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>
      <c r="A15">
        <v>137</v>
      </c>
      <c r="B15" s="2">
        <v>8475</v>
      </c>
      <c r="C15" t="s">
        <v>10</v>
      </c>
      <c r="D15" s="3">
        <v>46239.625879629632</v>
      </c>
      <c r="E15" s="7">
        <f>CaseDataTable[[#This Row],[Время]]</f>
        <v>46239.625879629632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>
      <c r="A16">
        <v>280</v>
      </c>
      <c r="B16" s="2">
        <v>8245</v>
      </c>
      <c r="C16" t="s">
        <v>11</v>
      </c>
      <c r="D16" s="3">
        <v>46239.692384259259</v>
      </c>
      <c r="E16" s="7">
        <f>CaseDataTable[[#This Row],[Время]]</f>
        <v>46239.692384259259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>
      <c r="A17">
        <v>222</v>
      </c>
      <c r="B17" s="2">
        <v>7975</v>
      </c>
      <c r="C17" t="s">
        <v>12</v>
      </c>
      <c r="D17" s="3">
        <v>46239.786759259259</v>
      </c>
      <c r="E17" s="7">
        <f>CaseDataTable[[#This Row],[Время]]</f>
        <v>46239.786759259259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>
      <c r="A18">
        <v>222</v>
      </c>
      <c r="B18" s="2">
        <v>7975</v>
      </c>
      <c r="C18" t="s">
        <v>10</v>
      </c>
      <c r="D18" s="3">
        <v>46239.786759259259</v>
      </c>
      <c r="E18" s="7">
        <f>CaseDataTable[[#This Row],[Время]]</f>
        <v>46239.786759259259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>
      <c r="A19">
        <v>291</v>
      </c>
      <c r="B19" s="2">
        <v>9950</v>
      </c>
      <c r="C19" t="s">
        <v>6</v>
      </c>
      <c r="D19" s="3">
        <v>46240.421018518522</v>
      </c>
      <c r="E19" s="7">
        <f>CaseDataTable[[#This Row],[Время]]</f>
        <v>46240.421018518522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>
      <c r="A20">
        <v>291</v>
      </c>
      <c r="B20" s="2">
        <v>9950</v>
      </c>
      <c r="C20" t="s">
        <v>7</v>
      </c>
      <c r="D20" s="3">
        <v>46240.421018518522</v>
      </c>
      <c r="E20" s="7">
        <f>CaseDataTable[[#This Row],[Время]]</f>
        <v>46240.421018518522</v>
      </c>
    </row>
    <row r="21" spans="1:19">
      <c r="A21">
        <v>295</v>
      </c>
      <c r="B21" s="2">
        <v>6950</v>
      </c>
      <c r="C21" t="s">
        <v>8</v>
      </c>
      <c r="D21" s="3">
        <v>46240.427025462966</v>
      </c>
      <c r="E21" s="7">
        <f>CaseDataTable[[#This Row],[Время]]</f>
        <v>46240.427025462966</v>
      </c>
    </row>
    <row r="22" spans="1:19">
      <c r="A22">
        <v>294</v>
      </c>
      <c r="B22" s="2">
        <v>9950</v>
      </c>
      <c r="C22" t="s">
        <v>6</v>
      </c>
      <c r="D22" s="3">
        <v>46240.444108796299</v>
      </c>
      <c r="E22" s="7">
        <f>CaseDataTable[[#This Row],[Время]]</f>
        <v>46240.444108796299</v>
      </c>
    </row>
    <row r="23" spans="1:19">
      <c r="A23">
        <v>325</v>
      </c>
      <c r="B23" s="2">
        <v>9950</v>
      </c>
      <c r="C23" t="s">
        <v>6</v>
      </c>
      <c r="D23" s="3">
        <v>46240.487002314818</v>
      </c>
      <c r="E23" s="7">
        <f>CaseDataTable[[#This Row],[Время]]</f>
        <v>46240.487002314818</v>
      </c>
    </row>
    <row r="24" spans="1:19">
      <c r="A24">
        <v>166</v>
      </c>
      <c r="B24" s="2">
        <v>6950</v>
      </c>
      <c r="C24" t="s">
        <v>8</v>
      </c>
      <c r="D24" s="3">
        <v>46240.510949074072</v>
      </c>
      <c r="E24" s="7">
        <f>CaseDataTable[[#This Row],[Время]]</f>
        <v>46240.510949074072</v>
      </c>
    </row>
    <row r="25" spans="1:19">
      <c r="A25">
        <v>477</v>
      </c>
      <c r="B25" s="2">
        <v>500</v>
      </c>
      <c r="C25" t="s">
        <v>14</v>
      </c>
      <c r="D25" s="3">
        <v>46240.620011574072</v>
      </c>
      <c r="E25" s="7">
        <f>CaseDataTable[[#This Row],[Время]]</f>
        <v>46240.620011574072</v>
      </c>
    </row>
    <row r="26" spans="1:19">
      <c r="A26">
        <v>579</v>
      </c>
      <c r="B26" s="2">
        <v>8245</v>
      </c>
      <c r="C26" t="s">
        <v>11</v>
      </c>
      <c r="D26" s="3">
        <v>46240.68109953704</v>
      </c>
      <c r="E26" s="7">
        <f>CaseDataTable[[#This Row],[Время]]</f>
        <v>46240.68109953704</v>
      </c>
    </row>
    <row r="27" spans="1:19">
      <c r="A27">
        <v>334</v>
      </c>
      <c r="B27" s="2">
        <v>9950</v>
      </c>
      <c r="C27" t="s">
        <v>6</v>
      </c>
      <c r="D27" s="3">
        <v>46241.469606481478</v>
      </c>
      <c r="E27" s="7">
        <f>CaseDataTable[[#This Row],[Время]]</f>
        <v>46241.469606481478</v>
      </c>
    </row>
    <row r="28" spans="1:19">
      <c r="A28">
        <v>334</v>
      </c>
      <c r="B28" s="2">
        <v>9950</v>
      </c>
      <c r="C28" t="s">
        <v>7</v>
      </c>
      <c r="D28" s="3">
        <v>46241.469606481478</v>
      </c>
      <c r="E28" s="7">
        <f>CaseDataTable[[#This Row],[Время]]</f>
        <v>46241.469606481478</v>
      </c>
    </row>
    <row r="29" spans="1:19">
      <c r="A29">
        <v>459</v>
      </c>
      <c r="B29" s="2">
        <v>9950</v>
      </c>
      <c r="C29" t="s">
        <v>7</v>
      </c>
      <c r="D29" s="3">
        <v>46241.479953703703</v>
      </c>
      <c r="E29" s="7">
        <f>CaseDataTable[[#This Row],[Время]]</f>
        <v>46241.479953703703</v>
      </c>
    </row>
    <row r="30" spans="1:19">
      <c r="A30">
        <v>313</v>
      </c>
      <c r="B30" s="2">
        <v>9450</v>
      </c>
      <c r="C30" t="s">
        <v>7</v>
      </c>
      <c r="D30" s="3">
        <v>46241.499178240738</v>
      </c>
      <c r="E30" s="7">
        <f>CaseDataTable[[#This Row],[Время]]</f>
        <v>46241.499178240738</v>
      </c>
    </row>
    <row r="31" spans="1:19">
      <c r="A31">
        <v>481</v>
      </c>
      <c r="B31" s="2">
        <v>8745</v>
      </c>
      <c r="C31" t="s">
        <v>4</v>
      </c>
      <c r="D31" s="3">
        <v>46241.548541666663</v>
      </c>
      <c r="E31" s="7">
        <f>CaseDataTable[[#This Row],[Время]]</f>
        <v>46241.548541666663</v>
      </c>
    </row>
    <row r="32" spans="1:19">
      <c r="A32">
        <v>249</v>
      </c>
      <c r="B32" s="2">
        <v>6950</v>
      </c>
      <c r="C32" t="s">
        <v>8</v>
      </c>
      <c r="D32" s="3">
        <v>46241.818692129629</v>
      </c>
      <c r="E32" s="7">
        <f>CaseDataTable[[#This Row],[Время]]</f>
        <v>46241.818692129629</v>
      </c>
    </row>
    <row r="33" spans="1:5">
      <c r="A33">
        <v>259</v>
      </c>
      <c r="B33" s="2">
        <v>8745</v>
      </c>
      <c r="C33" t="s">
        <v>4</v>
      </c>
      <c r="D33" s="3">
        <v>46242.332650462966</v>
      </c>
      <c r="E33" s="7">
        <f>CaseDataTable[[#This Row],[Время]]</f>
        <v>46242.332650462966</v>
      </c>
    </row>
    <row r="34" spans="1:5">
      <c r="A34">
        <v>26</v>
      </c>
      <c r="B34" s="2">
        <v>6490</v>
      </c>
      <c r="C34" t="s">
        <v>10</v>
      </c>
      <c r="D34" s="3">
        <v>46242.390983796293</v>
      </c>
      <c r="E34" s="7">
        <f>CaseDataTable[[#This Row],[Время]]</f>
        <v>46242.390983796293</v>
      </c>
    </row>
    <row r="35" spans="1:5">
      <c r="A35">
        <v>183</v>
      </c>
      <c r="B35" s="2">
        <v>6490</v>
      </c>
      <c r="C35" t="s">
        <v>10</v>
      </c>
      <c r="D35" s="3">
        <v>46242.422349537039</v>
      </c>
      <c r="E35" s="7">
        <f>CaseDataTable[[#This Row],[Время]]</f>
        <v>46242.422349537039</v>
      </c>
    </row>
    <row r="36" spans="1:5">
      <c r="A36">
        <v>47</v>
      </c>
      <c r="B36" s="2">
        <v>4995</v>
      </c>
      <c r="C36" t="s">
        <v>11</v>
      </c>
      <c r="D36" s="3">
        <v>46242.51730324074</v>
      </c>
      <c r="E36" s="7">
        <f>CaseDataTable[[#This Row],[Время]]</f>
        <v>46242.51730324074</v>
      </c>
    </row>
    <row r="37" spans="1:5">
      <c r="A37">
        <v>47</v>
      </c>
      <c r="B37" s="2">
        <v>4995</v>
      </c>
      <c r="C37" t="s">
        <v>15</v>
      </c>
      <c r="D37" s="3">
        <v>46242.51730324074</v>
      </c>
      <c r="E37" s="7">
        <f>CaseDataTable[[#This Row],[Время]]</f>
        <v>46242.51730324074</v>
      </c>
    </row>
    <row r="38" spans="1:5">
      <c r="A38">
        <v>518</v>
      </c>
      <c r="B38" s="2">
        <v>6490</v>
      </c>
      <c r="C38" t="s">
        <v>15</v>
      </c>
      <c r="D38" s="3">
        <v>46242.526122685187</v>
      </c>
      <c r="E38" s="7">
        <f>CaseDataTable[[#This Row],[Время]]</f>
        <v>46242.526122685187</v>
      </c>
    </row>
    <row r="39" spans="1:5">
      <c r="A39">
        <v>54</v>
      </c>
      <c r="B39" s="2">
        <v>6490</v>
      </c>
      <c r="C39" t="s">
        <v>15</v>
      </c>
      <c r="D39" s="3">
        <v>46242.527673611112</v>
      </c>
      <c r="E39" s="7">
        <f>CaseDataTable[[#This Row],[Время]]</f>
        <v>46242.527673611112</v>
      </c>
    </row>
    <row r="40" spans="1:5">
      <c r="A40">
        <v>554</v>
      </c>
      <c r="B40" s="2">
        <v>5000</v>
      </c>
      <c r="C40" t="s">
        <v>11</v>
      </c>
      <c r="D40" s="3">
        <v>46242.53056712963</v>
      </c>
      <c r="E40" s="7">
        <f>CaseDataTable[[#This Row],[Время]]</f>
        <v>46242.53056712963</v>
      </c>
    </row>
    <row r="41" spans="1:5">
      <c r="A41">
        <v>554</v>
      </c>
      <c r="B41" s="2">
        <v>5000</v>
      </c>
      <c r="C41" t="s">
        <v>15</v>
      </c>
      <c r="D41" s="3">
        <v>46242.53056712963</v>
      </c>
      <c r="E41" s="7">
        <f>CaseDataTable[[#This Row],[Время]]</f>
        <v>46242.53056712963</v>
      </c>
    </row>
    <row r="42" spans="1:5">
      <c r="A42">
        <v>473</v>
      </c>
      <c r="B42" s="2">
        <v>10000</v>
      </c>
      <c r="C42" t="s">
        <v>16</v>
      </c>
      <c r="D42" s="3">
        <v>46242.581435185188</v>
      </c>
      <c r="E42" s="7">
        <f>CaseDataTable[[#This Row],[Время]]</f>
        <v>46242.581435185188</v>
      </c>
    </row>
    <row r="43" spans="1:5">
      <c r="A43">
        <v>308</v>
      </c>
      <c r="B43" s="2">
        <v>4950</v>
      </c>
      <c r="C43" t="s">
        <v>10</v>
      </c>
      <c r="D43" s="3">
        <v>46242.587002314816</v>
      </c>
      <c r="E43" s="7">
        <f>CaseDataTable[[#This Row],[Время]]</f>
        <v>46242.587002314816</v>
      </c>
    </row>
    <row r="44" spans="1:5">
      <c r="A44">
        <v>308</v>
      </c>
      <c r="B44" s="2">
        <v>4950</v>
      </c>
      <c r="C44" t="s">
        <v>15</v>
      </c>
      <c r="D44" s="3">
        <v>46242.587002314816</v>
      </c>
      <c r="E44" s="7">
        <f>CaseDataTable[[#This Row],[Время]]</f>
        <v>46242.587002314816</v>
      </c>
    </row>
    <row r="45" spans="1:5">
      <c r="A45">
        <v>412</v>
      </c>
      <c r="B45" s="2">
        <v>4995</v>
      </c>
      <c r="C45" t="s">
        <v>11</v>
      </c>
      <c r="D45" s="3">
        <v>46242.588101851848</v>
      </c>
      <c r="E45" s="7">
        <f>CaseDataTable[[#This Row],[Время]]</f>
        <v>46242.588101851848</v>
      </c>
    </row>
    <row r="46" spans="1:5">
      <c r="A46">
        <v>412</v>
      </c>
      <c r="B46" s="2">
        <v>4995</v>
      </c>
      <c r="C46" t="s">
        <v>15</v>
      </c>
      <c r="D46" s="3">
        <v>46242.588101851848</v>
      </c>
      <c r="E46" s="7">
        <f>CaseDataTable[[#This Row],[Время]]</f>
        <v>46242.588101851848</v>
      </c>
    </row>
    <row r="47" spans="1:5">
      <c r="A47">
        <v>7</v>
      </c>
      <c r="B47" s="2">
        <v>4950</v>
      </c>
      <c r="C47" t="s">
        <v>10</v>
      </c>
      <c r="D47" s="3">
        <v>46242.588842592595</v>
      </c>
      <c r="E47" s="7">
        <f>CaseDataTable[[#This Row],[Время]]</f>
        <v>46242.588842592595</v>
      </c>
    </row>
    <row r="48" spans="1:5">
      <c r="A48">
        <v>370</v>
      </c>
      <c r="B48" s="2">
        <v>6490</v>
      </c>
      <c r="C48" t="s">
        <v>10</v>
      </c>
      <c r="D48" s="3">
        <v>46242.590682870374</v>
      </c>
      <c r="E48" s="7">
        <f>CaseDataTable[[#This Row],[Время]]</f>
        <v>46242.590682870374</v>
      </c>
    </row>
    <row r="49" spans="1:5">
      <c r="A49">
        <v>532</v>
      </c>
      <c r="B49" s="2">
        <v>4995</v>
      </c>
      <c r="C49" t="s">
        <v>17</v>
      </c>
      <c r="D49" s="3">
        <v>46242.682488425926</v>
      </c>
      <c r="E49" s="7">
        <f>CaseDataTable[[#This Row],[Время]]</f>
        <v>46242.682488425926</v>
      </c>
    </row>
    <row r="50" spans="1:5">
      <c r="A50">
        <v>532</v>
      </c>
      <c r="B50" s="2">
        <v>4995</v>
      </c>
      <c r="C50" t="s">
        <v>5</v>
      </c>
      <c r="D50" s="3">
        <v>46242.682488425926</v>
      </c>
      <c r="E50" s="7">
        <f>CaseDataTable[[#This Row],[Время]]</f>
        <v>46242.682488425926</v>
      </c>
    </row>
    <row r="51" spans="1:5">
      <c r="A51">
        <v>451</v>
      </c>
      <c r="B51" s="2">
        <v>8245</v>
      </c>
      <c r="C51" t="s">
        <v>12</v>
      </c>
      <c r="D51" s="3">
        <v>46242.683865740742</v>
      </c>
      <c r="E51" s="7">
        <f>CaseDataTable[[#This Row],[Время]]</f>
        <v>46242.683865740742</v>
      </c>
    </row>
    <row r="52" spans="1:5">
      <c r="A52">
        <v>265</v>
      </c>
      <c r="B52" s="2">
        <v>5990</v>
      </c>
      <c r="C52" t="s">
        <v>11</v>
      </c>
      <c r="D52" s="3">
        <v>46242.684351851851</v>
      </c>
      <c r="E52" s="7">
        <f>CaseDataTable[[#This Row],[Время]]</f>
        <v>46242.684351851851</v>
      </c>
    </row>
    <row r="53" spans="1:5">
      <c r="A53">
        <v>8</v>
      </c>
      <c r="B53" s="2">
        <v>4495</v>
      </c>
      <c r="C53" t="s">
        <v>13</v>
      </c>
      <c r="D53" s="3">
        <v>46242.684479166666</v>
      </c>
      <c r="E53" s="7">
        <f>CaseDataTable[[#This Row],[Время]]</f>
        <v>46242.684479166666</v>
      </c>
    </row>
    <row r="54" spans="1:5">
      <c r="A54">
        <v>8</v>
      </c>
      <c r="B54" s="2">
        <v>4495</v>
      </c>
      <c r="C54" t="s">
        <v>16</v>
      </c>
      <c r="D54" s="3">
        <v>46242.684479166666</v>
      </c>
      <c r="E54" s="7">
        <f>CaseDataTable[[#This Row],[Время]]</f>
        <v>46242.684479166666</v>
      </c>
    </row>
    <row r="55" spans="1:5">
      <c r="A55">
        <v>33</v>
      </c>
      <c r="B55" s="2">
        <v>4995</v>
      </c>
      <c r="C55" t="s">
        <v>10</v>
      </c>
      <c r="D55" s="3">
        <v>46242.68513888889</v>
      </c>
      <c r="E55" s="7">
        <f>CaseDataTable[[#This Row],[Время]]</f>
        <v>46242.68513888889</v>
      </c>
    </row>
    <row r="56" spans="1:5">
      <c r="A56">
        <v>33</v>
      </c>
      <c r="B56" s="2">
        <v>4995</v>
      </c>
      <c r="C56" t="s">
        <v>15</v>
      </c>
      <c r="D56" s="3">
        <v>46242.68513888889</v>
      </c>
      <c r="E56" s="7">
        <f>CaseDataTable[[#This Row],[Время]]</f>
        <v>46242.68513888889</v>
      </c>
    </row>
    <row r="57" spans="1:5">
      <c r="A57">
        <v>512</v>
      </c>
      <c r="B57" s="2">
        <v>4995</v>
      </c>
      <c r="C57" t="s">
        <v>15</v>
      </c>
      <c r="D57" s="3">
        <v>46242.696666666663</v>
      </c>
      <c r="E57" s="7">
        <f>CaseDataTable[[#This Row],[Время]]</f>
        <v>46242.696666666663</v>
      </c>
    </row>
    <row r="58" spans="1:5">
      <c r="A58">
        <v>410</v>
      </c>
      <c r="B58" s="2">
        <v>6490</v>
      </c>
      <c r="C58" t="s">
        <v>10</v>
      </c>
      <c r="D58" s="3">
        <v>46242.702141203707</v>
      </c>
      <c r="E58" s="7">
        <f>CaseDataTable[[#This Row],[Время]]</f>
        <v>46242.702141203707</v>
      </c>
    </row>
    <row r="59" spans="1:5">
      <c r="A59">
        <v>516</v>
      </c>
      <c r="B59" s="2">
        <v>4950</v>
      </c>
      <c r="C59" t="s">
        <v>15</v>
      </c>
      <c r="D59" s="3">
        <v>46242.70820601852</v>
      </c>
      <c r="E59" s="7">
        <f>CaseDataTable[[#This Row],[Время]]</f>
        <v>46242.70820601852</v>
      </c>
    </row>
    <row r="60" spans="1:5">
      <c r="A60">
        <v>516</v>
      </c>
      <c r="B60" s="2">
        <v>4950</v>
      </c>
      <c r="C60" t="s">
        <v>5</v>
      </c>
      <c r="D60" s="3">
        <v>46242.70820601852</v>
      </c>
      <c r="E60" s="7">
        <f>CaseDataTable[[#This Row],[Время]]</f>
        <v>46242.70820601852</v>
      </c>
    </row>
    <row r="61" spans="1:5">
      <c r="A61">
        <v>511</v>
      </c>
      <c r="B61" s="2">
        <v>4950</v>
      </c>
      <c r="C61" t="s">
        <v>5</v>
      </c>
      <c r="D61" s="3">
        <v>46242.728958333333</v>
      </c>
      <c r="E61" s="7">
        <f>CaseDataTable[[#This Row],[Время]]</f>
        <v>46242.728958333333</v>
      </c>
    </row>
    <row r="62" spans="1:5">
      <c r="A62">
        <v>256</v>
      </c>
      <c r="B62" s="2">
        <v>5990</v>
      </c>
      <c r="C62" t="s">
        <v>11</v>
      </c>
      <c r="D62" s="3">
        <v>46242.746261574073</v>
      </c>
      <c r="E62" s="7">
        <f>CaseDataTable[[#This Row],[Время]]</f>
        <v>46242.746261574073</v>
      </c>
    </row>
    <row r="63" spans="1:5">
      <c r="A63">
        <v>333</v>
      </c>
      <c r="B63" s="2">
        <v>6490</v>
      </c>
      <c r="C63" t="s">
        <v>5</v>
      </c>
      <c r="D63" s="3">
        <v>46242.767511574071</v>
      </c>
      <c r="E63" s="7">
        <f>CaseDataTable[[#This Row],[Время]]</f>
        <v>46242.767511574071</v>
      </c>
    </row>
    <row r="64" spans="1:5">
      <c r="A64">
        <v>233</v>
      </c>
      <c r="B64" s="2">
        <v>6490</v>
      </c>
      <c r="C64" t="s">
        <v>5</v>
      </c>
      <c r="D64" s="3">
        <v>46242.785509259258</v>
      </c>
      <c r="E64" s="7">
        <f>CaseDataTable[[#This Row],[Время]]</f>
        <v>46242.785509259258</v>
      </c>
    </row>
    <row r="65" spans="1:5">
      <c r="A65">
        <v>427</v>
      </c>
      <c r="B65" s="2">
        <v>4950</v>
      </c>
      <c r="C65" t="s">
        <v>11</v>
      </c>
      <c r="D65" s="3">
        <v>46242.808171296296</v>
      </c>
      <c r="E65" s="7">
        <f>CaseDataTable[[#This Row],[Время]]</f>
        <v>46242.808171296296</v>
      </c>
    </row>
    <row r="66" spans="1:5">
      <c r="A66">
        <v>427</v>
      </c>
      <c r="B66" s="2">
        <v>4950</v>
      </c>
      <c r="C66" t="s">
        <v>16</v>
      </c>
      <c r="D66" s="3">
        <v>46242.808171296296</v>
      </c>
      <c r="E66" s="7">
        <f>CaseDataTable[[#This Row],[Время]]</f>
        <v>46242.808171296296</v>
      </c>
    </row>
    <row r="67" spans="1:5">
      <c r="A67">
        <v>120</v>
      </c>
      <c r="B67" s="2">
        <v>6490</v>
      </c>
      <c r="C67" t="s">
        <v>5</v>
      </c>
      <c r="D67" s="3">
        <v>46242.811412037037</v>
      </c>
      <c r="E67" s="7">
        <f>CaseDataTable[[#This Row],[Время]]</f>
        <v>46242.811412037037</v>
      </c>
    </row>
    <row r="68" spans="1:5">
      <c r="A68">
        <v>469</v>
      </c>
      <c r="B68" s="2">
        <v>4950</v>
      </c>
      <c r="C68" t="s">
        <v>16</v>
      </c>
      <c r="D68" s="3">
        <v>46242.823194444441</v>
      </c>
      <c r="E68" s="7">
        <f>CaseDataTable[[#This Row],[Время]]</f>
        <v>46242.823194444441</v>
      </c>
    </row>
    <row r="69" spans="1:5">
      <c r="A69">
        <v>161</v>
      </c>
      <c r="B69" s="2">
        <v>4995</v>
      </c>
      <c r="C69" t="s">
        <v>10</v>
      </c>
      <c r="D69" s="3">
        <v>46242.826180555552</v>
      </c>
      <c r="E69" s="7">
        <f>CaseDataTable[[#This Row],[Время]]</f>
        <v>46242.826180555552</v>
      </c>
    </row>
    <row r="70" spans="1:5">
      <c r="A70">
        <v>161</v>
      </c>
      <c r="B70" s="2">
        <v>4995</v>
      </c>
      <c r="C70" t="s">
        <v>15</v>
      </c>
      <c r="D70" s="3">
        <v>46242.826180555552</v>
      </c>
      <c r="E70" s="7">
        <f>CaseDataTable[[#This Row],[Время]]</f>
        <v>46242.826180555552</v>
      </c>
    </row>
    <row r="71" spans="1:5">
      <c r="A71">
        <v>320</v>
      </c>
      <c r="B71" s="2">
        <v>4995</v>
      </c>
      <c r="C71" t="s">
        <v>15</v>
      </c>
      <c r="D71" s="3">
        <v>46242.829525462963</v>
      </c>
      <c r="E71" s="7">
        <f>CaseDataTable[[#This Row],[Время]]</f>
        <v>46242.829525462963</v>
      </c>
    </row>
    <row r="72" spans="1:5">
      <c r="A72">
        <v>320</v>
      </c>
      <c r="B72" s="2">
        <v>4995</v>
      </c>
      <c r="C72" t="s">
        <v>5</v>
      </c>
      <c r="D72" s="3">
        <v>46242.829525462963</v>
      </c>
      <c r="E72" s="7">
        <f>CaseDataTable[[#This Row],[Время]]</f>
        <v>46242.829525462963</v>
      </c>
    </row>
    <row r="73" spans="1:5">
      <c r="A73">
        <v>135</v>
      </c>
      <c r="B73" s="2">
        <v>4995</v>
      </c>
      <c r="C73" t="s">
        <v>11</v>
      </c>
      <c r="D73" s="3">
        <v>46242.833553240744</v>
      </c>
      <c r="E73" s="7">
        <f>CaseDataTable[[#This Row],[Время]]</f>
        <v>46242.833553240744</v>
      </c>
    </row>
    <row r="74" spans="1:5">
      <c r="A74">
        <v>135</v>
      </c>
      <c r="B74" s="2">
        <v>4995</v>
      </c>
      <c r="C74" t="s">
        <v>15</v>
      </c>
      <c r="D74" s="3">
        <v>46242.833553240744</v>
      </c>
      <c r="E74" s="7">
        <f>CaseDataTable[[#This Row],[Время]]</f>
        <v>46242.833553240744</v>
      </c>
    </row>
    <row r="75" spans="1:5">
      <c r="A75">
        <v>73</v>
      </c>
      <c r="B75" s="2">
        <v>4995</v>
      </c>
      <c r="C75" t="s">
        <v>15</v>
      </c>
      <c r="D75" s="3">
        <v>46242.837268518517</v>
      </c>
      <c r="E75" s="7">
        <f>CaseDataTable[[#This Row],[Время]]</f>
        <v>46242.837268518517</v>
      </c>
    </row>
    <row r="76" spans="1:5">
      <c r="A76">
        <v>227</v>
      </c>
      <c r="B76" s="2">
        <v>4725</v>
      </c>
      <c r="C76" t="s">
        <v>11</v>
      </c>
      <c r="D76" s="3">
        <v>46242.839270833334</v>
      </c>
      <c r="E76" s="7">
        <f>CaseDataTable[[#This Row],[Время]]</f>
        <v>46242.839270833334</v>
      </c>
    </row>
    <row r="77" spans="1:5">
      <c r="A77">
        <v>227</v>
      </c>
      <c r="B77" s="2">
        <v>4725</v>
      </c>
      <c r="C77" t="s">
        <v>15</v>
      </c>
      <c r="D77" s="3">
        <v>46242.839270833334</v>
      </c>
      <c r="E77" s="7">
        <f>CaseDataTable[[#This Row],[Время]]</f>
        <v>46242.839270833334</v>
      </c>
    </row>
    <row r="78" spans="1:5">
      <c r="A78">
        <v>507</v>
      </c>
      <c r="B78" s="2">
        <v>6490</v>
      </c>
      <c r="C78" t="s">
        <v>11</v>
      </c>
      <c r="D78" s="3">
        <v>46242.842199074075</v>
      </c>
      <c r="E78" s="7">
        <f>CaseDataTable[[#This Row],[Время]]</f>
        <v>46242.842199074075</v>
      </c>
    </row>
    <row r="79" spans="1:5">
      <c r="A79">
        <v>421</v>
      </c>
      <c r="B79" s="2">
        <v>4995</v>
      </c>
      <c r="C79" t="s">
        <v>18</v>
      </c>
      <c r="D79" s="3">
        <v>46242.851122685184</v>
      </c>
      <c r="E79" s="7">
        <f>CaseDataTable[[#This Row],[Время]]</f>
        <v>46242.851122685184</v>
      </c>
    </row>
    <row r="80" spans="1:5">
      <c r="A80">
        <v>421</v>
      </c>
      <c r="B80" s="2">
        <v>4995</v>
      </c>
      <c r="C80" t="s">
        <v>16</v>
      </c>
      <c r="D80" s="3">
        <v>46242.851122685184</v>
      </c>
      <c r="E80" s="7">
        <f>CaseDataTable[[#This Row],[Время]]</f>
        <v>46242.851122685184</v>
      </c>
    </row>
    <row r="81" spans="1:5">
      <c r="A81">
        <v>401</v>
      </c>
      <c r="B81" s="2">
        <v>8245</v>
      </c>
      <c r="C81" t="s">
        <v>12</v>
      </c>
      <c r="D81" s="3">
        <v>46242.928414351853</v>
      </c>
      <c r="E81" s="7">
        <f>CaseDataTable[[#This Row],[Время]]</f>
        <v>46242.928414351853</v>
      </c>
    </row>
    <row r="82" spans="1:5">
      <c r="A82">
        <v>160</v>
      </c>
      <c r="B82" s="2">
        <v>4995</v>
      </c>
      <c r="C82" t="s">
        <v>5</v>
      </c>
      <c r="D82" s="3">
        <v>46243.110925925925</v>
      </c>
      <c r="E82" s="7">
        <f>CaseDataTable[[#This Row],[Время]]</f>
        <v>46243.110925925925</v>
      </c>
    </row>
    <row r="83" spans="1:5">
      <c r="A83">
        <v>32</v>
      </c>
      <c r="B83" s="2">
        <v>6490</v>
      </c>
      <c r="C83" t="s">
        <v>11</v>
      </c>
      <c r="D83" s="3">
        <v>46243.191793981481</v>
      </c>
      <c r="E83" s="7">
        <f>CaseDataTable[[#This Row],[Время]]</f>
        <v>46243.191793981481</v>
      </c>
    </row>
    <row r="84" spans="1:5">
      <c r="A84">
        <v>415</v>
      </c>
      <c r="B84" s="2">
        <v>4995</v>
      </c>
      <c r="C84" t="s">
        <v>10</v>
      </c>
      <c r="D84" s="3">
        <v>46243.202569444446</v>
      </c>
      <c r="E84" s="7">
        <f>CaseDataTable[[#This Row],[Время]]</f>
        <v>46243.202569444446</v>
      </c>
    </row>
    <row r="85" spans="1:5">
      <c r="A85">
        <v>167</v>
      </c>
      <c r="B85" s="2">
        <v>4950</v>
      </c>
      <c r="C85" t="s">
        <v>11</v>
      </c>
      <c r="D85" s="3">
        <v>46243.380046296297</v>
      </c>
      <c r="E85" s="7">
        <f>CaseDataTable[[#This Row],[Время]]</f>
        <v>46243.380046296297</v>
      </c>
    </row>
    <row r="86" spans="1:5">
      <c r="A86">
        <v>167</v>
      </c>
      <c r="B86" s="2">
        <v>4950</v>
      </c>
      <c r="C86" t="s">
        <v>15</v>
      </c>
      <c r="D86" s="3">
        <v>46243.380046296297</v>
      </c>
      <c r="E86" s="7">
        <f>CaseDataTable[[#This Row],[Время]]</f>
        <v>46243.380046296297</v>
      </c>
    </row>
    <row r="87" spans="1:5">
      <c r="A87">
        <v>262</v>
      </c>
      <c r="B87" s="2">
        <v>6490</v>
      </c>
      <c r="C87" t="s">
        <v>12</v>
      </c>
      <c r="D87" s="3">
        <v>46243.382581018515</v>
      </c>
      <c r="E87" s="7">
        <f>CaseDataTable[[#This Row],[Время]]</f>
        <v>46243.382581018515</v>
      </c>
    </row>
    <row r="88" spans="1:5">
      <c r="A88">
        <v>570</v>
      </c>
      <c r="B88" s="2">
        <v>4995</v>
      </c>
      <c r="C88" t="s">
        <v>15</v>
      </c>
      <c r="D88" s="3">
        <v>46243.392326388886</v>
      </c>
      <c r="E88" s="7">
        <f>CaseDataTable[[#This Row],[Время]]</f>
        <v>46243.392326388886</v>
      </c>
    </row>
    <row r="89" spans="1:5">
      <c r="A89">
        <v>570</v>
      </c>
      <c r="B89" s="2">
        <v>4995</v>
      </c>
      <c r="C89" t="s">
        <v>5</v>
      </c>
      <c r="D89" s="3">
        <v>46243.392326388886</v>
      </c>
      <c r="E89" s="7">
        <f>CaseDataTable[[#This Row],[Время]]</f>
        <v>46243.392326388886</v>
      </c>
    </row>
    <row r="90" spans="1:5">
      <c r="A90">
        <v>520</v>
      </c>
      <c r="B90" s="2">
        <v>6490</v>
      </c>
      <c r="C90" t="s">
        <v>5</v>
      </c>
      <c r="D90" s="3">
        <v>46243.394062500003</v>
      </c>
      <c r="E90" s="7">
        <f>CaseDataTable[[#This Row],[Время]]</f>
        <v>46243.394062500003</v>
      </c>
    </row>
    <row r="91" spans="1:5">
      <c r="A91">
        <v>598</v>
      </c>
      <c r="B91" s="2">
        <v>4950</v>
      </c>
      <c r="C91" t="s">
        <v>10</v>
      </c>
      <c r="D91" s="3">
        <v>46243.40525462963</v>
      </c>
      <c r="E91" s="7">
        <f>CaseDataTable[[#This Row],[Время]]</f>
        <v>46243.40525462963</v>
      </c>
    </row>
    <row r="92" spans="1:5">
      <c r="A92">
        <v>598</v>
      </c>
      <c r="B92" s="2">
        <v>4950</v>
      </c>
      <c r="C92" t="s">
        <v>16</v>
      </c>
      <c r="D92" s="3">
        <v>46243.40525462963</v>
      </c>
      <c r="E92" s="7">
        <f>CaseDataTable[[#This Row],[Время]]</f>
        <v>46243.40525462963</v>
      </c>
    </row>
    <row r="93" spans="1:5">
      <c r="A93">
        <v>279</v>
      </c>
      <c r="B93" s="2">
        <v>6490</v>
      </c>
      <c r="C93" t="s">
        <v>5</v>
      </c>
      <c r="D93" s="3">
        <v>46243.408634259256</v>
      </c>
      <c r="E93" s="7">
        <f>CaseDataTable[[#This Row],[Время]]</f>
        <v>46243.408634259256</v>
      </c>
    </row>
    <row r="94" spans="1:5">
      <c r="A94">
        <v>207</v>
      </c>
      <c r="B94" s="2">
        <v>6490</v>
      </c>
      <c r="C94" t="s">
        <v>15</v>
      </c>
      <c r="D94" s="3">
        <v>46243.427523148152</v>
      </c>
      <c r="E94" s="7">
        <f>CaseDataTable[[#This Row],[Время]]</f>
        <v>46243.427523148152</v>
      </c>
    </row>
    <row r="95" spans="1:5">
      <c r="A95">
        <v>457</v>
      </c>
      <c r="B95" s="2">
        <v>6490</v>
      </c>
      <c r="C95" t="s">
        <v>15</v>
      </c>
      <c r="D95" s="3">
        <v>46243.428136574075</v>
      </c>
      <c r="E95" s="7">
        <f>CaseDataTable[[#This Row],[Время]]</f>
        <v>46243.428136574075</v>
      </c>
    </row>
    <row r="96" spans="1:5">
      <c r="A96">
        <v>389</v>
      </c>
      <c r="B96" s="2">
        <v>4950</v>
      </c>
      <c r="C96" t="s">
        <v>11</v>
      </c>
      <c r="D96" s="3">
        <v>46243.429305555554</v>
      </c>
      <c r="E96" s="7">
        <f>CaseDataTable[[#This Row],[Время]]</f>
        <v>46243.429305555554</v>
      </c>
    </row>
    <row r="97" spans="1:5">
      <c r="A97">
        <v>389</v>
      </c>
      <c r="B97" s="2">
        <v>4950</v>
      </c>
      <c r="C97" t="s">
        <v>15</v>
      </c>
      <c r="D97" s="3">
        <v>46243.429305555554</v>
      </c>
      <c r="E97" s="7">
        <f>CaseDataTable[[#This Row],[Время]]</f>
        <v>46243.429305555554</v>
      </c>
    </row>
    <row r="98" spans="1:5">
      <c r="A98">
        <v>89</v>
      </c>
      <c r="B98" s="2">
        <v>9900</v>
      </c>
      <c r="C98" t="s">
        <v>16</v>
      </c>
      <c r="D98" s="3">
        <v>46243.447442129633</v>
      </c>
      <c r="E98" s="7">
        <f>CaseDataTable[[#This Row],[Время]]</f>
        <v>46243.447442129633</v>
      </c>
    </row>
    <row r="99" spans="1:5">
      <c r="A99">
        <v>232</v>
      </c>
      <c r="B99" s="2">
        <v>6490</v>
      </c>
      <c r="C99" t="s">
        <v>5</v>
      </c>
      <c r="D99" s="3">
        <v>46243.449537037035</v>
      </c>
      <c r="E99" s="7">
        <f>CaseDataTable[[#This Row],[Время]]</f>
        <v>46243.449537037035</v>
      </c>
    </row>
    <row r="100" spans="1:5">
      <c r="A100">
        <v>527</v>
      </c>
      <c r="B100" s="2">
        <v>4950</v>
      </c>
      <c r="C100" t="s">
        <v>11</v>
      </c>
      <c r="D100" s="3">
        <v>46243.451238425929</v>
      </c>
      <c r="E100" s="7">
        <f>CaseDataTable[[#This Row],[Время]]</f>
        <v>46243.451238425929</v>
      </c>
    </row>
    <row r="101" spans="1:5">
      <c r="A101">
        <v>527</v>
      </c>
      <c r="B101" s="2">
        <v>4950</v>
      </c>
      <c r="C101" t="s">
        <v>15</v>
      </c>
      <c r="D101" s="3">
        <v>46243.451238425929</v>
      </c>
      <c r="E101" s="7">
        <f>CaseDataTable[[#This Row],[Время]]</f>
        <v>46243.451238425929</v>
      </c>
    </row>
    <row r="102" spans="1:5">
      <c r="A102">
        <v>129</v>
      </c>
      <c r="B102" s="2">
        <v>6490</v>
      </c>
      <c r="C102" t="s">
        <v>5</v>
      </c>
      <c r="D102" s="3">
        <v>46243.456076388888</v>
      </c>
      <c r="E102" s="7">
        <f>CaseDataTable[[#This Row],[Время]]</f>
        <v>46243.456076388888</v>
      </c>
    </row>
    <row r="103" spans="1:5">
      <c r="A103">
        <v>19</v>
      </c>
      <c r="B103" s="2">
        <v>4950</v>
      </c>
      <c r="C103" t="s">
        <v>15</v>
      </c>
      <c r="D103" s="3">
        <v>46243.459606481483</v>
      </c>
      <c r="E103" s="7">
        <f>CaseDataTable[[#This Row],[Время]]</f>
        <v>46243.459606481483</v>
      </c>
    </row>
    <row r="104" spans="1:5">
      <c r="A104">
        <v>19</v>
      </c>
      <c r="B104" s="2">
        <v>4950</v>
      </c>
      <c r="C104" t="s">
        <v>5</v>
      </c>
      <c r="D104" s="3">
        <v>46243.459606481483</v>
      </c>
      <c r="E104" s="7">
        <f>CaseDataTable[[#This Row],[Время]]</f>
        <v>46243.459606481483</v>
      </c>
    </row>
    <row r="105" spans="1:5">
      <c r="A105">
        <v>38</v>
      </c>
      <c r="B105" s="2">
        <v>6490</v>
      </c>
      <c r="C105" t="s">
        <v>5</v>
      </c>
      <c r="D105" s="3">
        <v>46243.510775462964</v>
      </c>
      <c r="E105" s="7">
        <f>CaseDataTable[[#This Row],[Время]]</f>
        <v>46243.510775462964</v>
      </c>
    </row>
    <row r="106" spans="1:5">
      <c r="A106">
        <v>206</v>
      </c>
      <c r="B106" s="2">
        <v>4995</v>
      </c>
      <c r="C106" t="s">
        <v>10</v>
      </c>
      <c r="D106" s="3">
        <v>46243.541805555556</v>
      </c>
      <c r="E106" s="7">
        <f>CaseDataTable[[#This Row],[Время]]</f>
        <v>46243.541805555556</v>
      </c>
    </row>
    <row r="107" spans="1:5">
      <c r="A107">
        <v>206</v>
      </c>
      <c r="B107" s="2">
        <v>4995</v>
      </c>
      <c r="C107" t="s">
        <v>16</v>
      </c>
      <c r="D107" s="3">
        <v>46243.541805555556</v>
      </c>
      <c r="E107" s="7">
        <f>CaseDataTable[[#This Row],[Время]]</f>
        <v>46243.541805555556</v>
      </c>
    </row>
    <row r="108" spans="1:5">
      <c r="A108">
        <v>356</v>
      </c>
      <c r="B108" s="2">
        <v>6950</v>
      </c>
      <c r="C108" t="s">
        <v>10</v>
      </c>
      <c r="D108" s="3">
        <v>46243.575057870374</v>
      </c>
      <c r="E108" s="7">
        <f>CaseDataTable[[#This Row],[Время]]</f>
        <v>46243.575057870374</v>
      </c>
    </row>
    <row r="109" spans="1:5">
      <c r="A109">
        <v>336</v>
      </c>
      <c r="B109" s="2">
        <v>4950</v>
      </c>
      <c r="C109" t="s">
        <v>11</v>
      </c>
      <c r="D109" s="3">
        <v>46243.575474537036</v>
      </c>
      <c r="E109" s="7">
        <f>CaseDataTable[[#This Row],[Время]]</f>
        <v>46243.575474537036</v>
      </c>
    </row>
    <row r="110" spans="1:5">
      <c r="A110">
        <v>336</v>
      </c>
      <c r="B110" s="2">
        <v>4950</v>
      </c>
      <c r="C110" t="s">
        <v>15</v>
      </c>
      <c r="D110" s="3">
        <v>46243.575474537036</v>
      </c>
      <c r="E110" s="7">
        <f>CaseDataTable[[#This Row],[Время]]</f>
        <v>46243.575474537036</v>
      </c>
    </row>
    <row r="111" spans="1:5">
      <c r="A111">
        <v>53</v>
      </c>
      <c r="B111" s="2">
        <v>4950</v>
      </c>
      <c r="C111" t="s">
        <v>11</v>
      </c>
      <c r="D111" s="3">
        <v>46243.581655092596</v>
      </c>
      <c r="E111" s="7">
        <f>CaseDataTable[[#This Row],[Время]]</f>
        <v>46243.581655092596</v>
      </c>
    </row>
    <row r="112" spans="1:5">
      <c r="A112">
        <v>543</v>
      </c>
      <c r="B112" s="2">
        <v>4950</v>
      </c>
      <c r="C112" t="s">
        <v>15</v>
      </c>
      <c r="D112" s="3">
        <v>46243.584305555552</v>
      </c>
      <c r="E112" s="7">
        <f>CaseDataTable[[#This Row],[Время]]</f>
        <v>46243.584305555552</v>
      </c>
    </row>
    <row r="113" spans="1:5">
      <c r="A113">
        <v>476</v>
      </c>
      <c r="B113" s="2">
        <v>4450</v>
      </c>
      <c r="C113" t="s">
        <v>11</v>
      </c>
      <c r="D113" s="3">
        <v>46243.593136574076</v>
      </c>
      <c r="E113" s="7">
        <f>CaseDataTable[[#This Row],[Время]]</f>
        <v>46243.593136574076</v>
      </c>
    </row>
    <row r="114" spans="1:5">
      <c r="A114">
        <v>476</v>
      </c>
      <c r="B114" s="2">
        <v>4450</v>
      </c>
      <c r="C114" t="s">
        <v>15</v>
      </c>
      <c r="D114" s="3">
        <v>46243.593136574076</v>
      </c>
      <c r="E114" s="7">
        <f>CaseDataTable[[#This Row],[Время]]</f>
        <v>46243.593136574076</v>
      </c>
    </row>
    <row r="115" spans="1:5">
      <c r="A115">
        <v>64</v>
      </c>
      <c r="B115" s="2">
        <v>4995</v>
      </c>
      <c r="C115" t="s">
        <v>16</v>
      </c>
      <c r="D115" s="3">
        <v>46243.614641203705</v>
      </c>
      <c r="E115" s="7">
        <f>CaseDataTable[[#This Row],[Время]]</f>
        <v>46243.614641203705</v>
      </c>
    </row>
    <row r="116" spans="1:5">
      <c r="A116">
        <v>335</v>
      </c>
      <c r="B116" s="2">
        <v>4950</v>
      </c>
      <c r="C116" t="s">
        <v>11</v>
      </c>
      <c r="D116" s="3">
        <v>46243.672013888892</v>
      </c>
      <c r="E116" s="7">
        <f>CaseDataTable[[#This Row],[Время]]</f>
        <v>46243.672013888892</v>
      </c>
    </row>
    <row r="117" spans="1:5">
      <c r="A117">
        <v>335</v>
      </c>
      <c r="B117" s="2">
        <v>4950</v>
      </c>
      <c r="C117" t="s">
        <v>15</v>
      </c>
      <c r="D117" s="3">
        <v>46243.672013888892</v>
      </c>
      <c r="E117" s="7">
        <f>CaseDataTable[[#This Row],[Время]]</f>
        <v>46243.672013888892</v>
      </c>
    </row>
    <row r="118" spans="1:5">
      <c r="A118">
        <v>400</v>
      </c>
      <c r="B118" s="2">
        <v>6490</v>
      </c>
      <c r="C118" t="s">
        <v>15</v>
      </c>
      <c r="D118" s="3">
        <v>46243.675104166665</v>
      </c>
      <c r="E118" s="7">
        <f>CaseDataTable[[#This Row],[Время]]</f>
        <v>46243.675104166665</v>
      </c>
    </row>
    <row r="119" spans="1:5">
      <c r="A119">
        <v>58</v>
      </c>
      <c r="B119" s="2">
        <v>5463.33</v>
      </c>
      <c r="C119" t="s">
        <v>10</v>
      </c>
      <c r="D119" s="3">
        <v>46243.675532407404</v>
      </c>
      <c r="E119" s="7">
        <f>CaseDataTable[[#This Row],[Время]]</f>
        <v>46243.675532407404</v>
      </c>
    </row>
    <row r="120" spans="1:5">
      <c r="A120">
        <v>58</v>
      </c>
      <c r="B120" s="2">
        <v>5463.33</v>
      </c>
      <c r="C120" t="s">
        <v>11</v>
      </c>
      <c r="D120" s="3">
        <v>46243.675532407404</v>
      </c>
      <c r="E120" s="7">
        <f>CaseDataTable[[#This Row],[Время]]</f>
        <v>46243.675532407404</v>
      </c>
    </row>
    <row r="121" spans="1:5">
      <c r="A121">
        <v>58</v>
      </c>
      <c r="B121" s="2">
        <v>5463.34</v>
      </c>
      <c r="C121" t="s">
        <v>15</v>
      </c>
      <c r="D121" s="3">
        <v>46243.675532407404</v>
      </c>
      <c r="E121" s="7">
        <f>CaseDataTable[[#This Row],[Время]]</f>
        <v>46243.675532407404</v>
      </c>
    </row>
    <row r="122" spans="1:5">
      <c r="A122">
        <v>435</v>
      </c>
      <c r="B122" s="2">
        <v>4950</v>
      </c>
      <c r="C122" t="s">
        <v>17</v>
      </c>
      <c r="D122" s="3">
        <v>46243.676307870373</v>
      </c>
      <c r="E122" s="7">
        <f>CaseDataTable[[#This Row],[Время]]</f>
        <v>46243.676307870373</v>
      </c>
    </row>
    <row r="123" spans="1:5">
      <c r="A123">
        <v>435</v>
      </c>
      <c r="B123" s="2">
        <v>4950</v>
      </c>
      <c r="C123" t="s">
        <v>5</v>
      </c>
      <c r="D123" s="3">
        <v>46243.676307870373</v>
      </c>
      <c r="E123" s="7">
        <f>CaseDataTable[[#This Row],[Время]]</f>
        <v>46243.676307870373</v>
      </c>
    </row>
    <row r="124" spans="1:5">
      <c r="A124">
        <v>365</v>
      </c>
      <c r="B124" s="2">
        <v>6490</v>
      </c>
      <c r="C124" t="s">
        <v>11</v>
      </c>
      <c r="D124" s="3">
        <v>46243.677175925928</v>
      </c>
      <c r="E124" s="7">
        <f>CaseDataTable[[#This Row],[Время]]</f>
        <v>46243.677175925928</v>
      </c>
    </row>
    <row r="125" spans="1:5">
      <c r="A125">
        <v>286</v>
      </c>
      <c r="B125" s="2">
        <v>6490</v>
      </c>
      <c r="C125" t="s">
        <v>5</v>
      </c>
      <c r="D125" s="3">
        <v>46243.678229166668</v>
      </c>
      <c r="E125" s="7">
        <f>CaseDataTable[[#This Row],[Время]]</f>
        <v>46243.678229166668</v>
      </c>
    </row>
    <row r="126" spans="1:5">
      <c r="A126">
        <v>96</v>
      </c>
      <c r="B126" s="2">
        <v>6490</v>
      </c>
      <c r="C126" t="s">
        <v>5</v>
      </c>
      <c r="D126" s="3">
        <v>46243.681747685187</v>
      </c>
      <c r="E126" s="7">
        <f>CaseDataTable[[#This Row],[Время]]</f>
        <v>46243.681747685187</v>
      </c>
    </row>
    <row r="127" spans="1:5">
      <c r="A127">
        <v>321</v>
      </c>
      <c r="B127" s="2">
        <v>6490</v>
      </c>
      <c r="C127" t="s">
        <v>11</v>
      </c>
      <c r="D127" s="3">
        <v>46243.683506944442</v>
      </c>
      <c r="E127" s="7">
        <f>CaseDataTable[[#This Row],[Время]]</f>
        <v>46243.683506944442</v>
      </c>
    </row>
    <row r="128" spans="1:5">
      <c r="A128">
        <v>550</v>
      </c>
      <c r="B128" s="2">
        <v>5463.34</v>
      </c>
      <c r="C128" t="s">
        <v>15</v>
      </c>
      <c r="D128" s="3">
        <v>46243.683819444443</v>
      </c>
      <c r="E128" s="7">
        <f>CaseDataTable[[#This Row],[Время]]</f>
        <v>46243.683819444443</v>
      </c>
    </row>
    <row r="129" spans="1:5">
      <c r="A129">
        <v>577</v>
      </c>
      <c r="B129" s="2">
        <v>5463.33</v>
      </c>
      <c r="C129" t="s">
        <v>10</v>
      </c>
      <c r="D129" s="3">
        <v>46243.685069444444</v>
      </c>
      <c r="E129" s="7">
        <f>CaseDataTable[[#This Row],[Время]]</f>
        <v>46243.685069444444</v>
      </c>
    </row>
    <row r="130" spans="1:5">
      <c r="A130">
        <v>176</v>
      </c>
      <c r="B130" s="2">
        <v>6490</v>
      </c>
      <c r="C130" t="s">
        <v>16</v>
      </c>
      <c r="D130" s="3">
        <v>46243.687476851854</v>
      </c>
      <c r="E130" s="7">
        <f>CaseDataTable[[#This Row],[Время]]</f>
        <v>46243.687476851854</v>
      </c>
    </row>
    <row r="131" spans="1:5">
      <c r="A131">
        <v>331</v>
      </c>
      <c r="B131" s="2">
        <v>4995</v>
      </c>
      <c r="C131" t="s">
        <v>15</v>
      </c>
      <c r="D131" s="3">
        <v>46243.688298611109</v>
      </c>
      <c r="E131" s="7">
        <f>CaseDataTable[[#This Row],[Время]]</f>
        <v>46243.688298611109</v>
      </c>
    </row>
    <row r="132" spans="1:5">
      <c r="A132">
        <v>331</v>
      </c>
      <c r="B132" s="2">
        <v>4995</v>
      </c>
      <c r="C132" t="s">
        <v>5</v>
      </c>
      <c r="D132" s="3">
        <v>46243.688298611109</v>
      </c>
      <c r="E132" s="7">
        <f>CaseDataTable[[#This Row],[Время]]</f>
        <v>46243.688298611109</v>
      </c>
    </row>
    <row r="133" spans="1:5">
      <c r="A133">
        <v>138</v>
      </c>
      <c r="B133" s="2">
        <v>6490</v>
      </c>
      <c r="C133" t="s">
        <v>11</v>
      </c>
      <c r="D133" s="3">
        <v>46243.689837962964</v>
      </c>
      <c r="E133" s="7">
        <f>CaseDataTable[[#This Row],[Время]]</f>
        <v>46243.689837962964</v>
      </c>
    </row>
    <row r="134" spans="1:5">
      <c r="A134">
        <v>40</v>
      </c>
      <c r="B134" s="2">
        <v>6490</v>
      </c>
      <c r="C134" t="s">
        <v>5</v>
      </c>
      <c r="D134" s="3">
        <v>46243.691689814812</v>
      </c>
      <c r="E134" s="7">
        <f>CaseDataTable[[#This Row],[Время]]</f>
        <v>46243.691689814812</v>
      </c>
    </row>
    <row r="135" spans="1:5">
      <c r="A135">
        <v>488</v>
      </c>
      <c r="B135" s="2">
        <v>19350</v>
      </c>
      <c r="C135" t="s">
        <v>16</v>
      </c>
      <c r="D135" s="3">
        <v>46243.691770833335</v>
      </c>
      <c r="E135" s="7">
        <f>CaseDataTable[[#This Row],[Время]]</f>
        <v>46243.691770833335</v>
      </c>
    </row>
    <row r="136" spans="1:5">
      <c r="A136">
        <v>462</v>
      </c>
      <c r="B136" s="2">
        <v>500</v>
      </c>
      <c r="C136" t="s">
        <v>15</v>
      </c>
      <c r="D136" s="3">
        <v>46243.698171296295</v>
      </c>
      <c r="E136" s="7">
        <f>CaseDataTable[[#This Row],[Время]]</f>
        <v>46243.698171296295</v>
      </c>
    </row>
    <row r="137" spans="1:5">
      <c r="A137">
        <v>329</v>
      </c>
      <c r="B137" s="2">
        <v>6490</v>
      </c>
      <c r="C137" t="s">
        <v>15</v>
      </c>
      <c r="D137" s="3">
        <v>46243.702627314815</v>
      </c>
      <c r="E137" s="7">
        <f>CaseDataTable[[#This Row],[Время]]</f>
        <v>46243.702627314815</v>
      </c>
    </row>
    <row r="138" spans="1:5">
      <c r="A138">
        <v>12</v>
      </c>
      <c r="B138" s="2">
        <v>6490</v>
      </c>
      <c r="C138" t="s">
        <v>10</v>
      </c>
      <c r="D138" s="3">
        <v>46243.702789351853</v>
      </c>
      <c r="E138" s="7">
        <f>CaseDataTable[[#This Row],[Время]]</f>
        <v>46243.702789351853</v>
      </c>
    </row>
    <row r="139" spans="1:5">
      <c r="A139">
        <v>371</v>
      </c>
      <c r="B139" s="2">
        <v>4950</v>
      </c>
      <c r="C139" t="s">
        <v>11</v>
      </c>
      <c r="D139" s="3">
        <v>46243.720243055555</v>
      </c>
      <c r="E139" s="7">
        <f>CaseDataTable[[#This Row],[Время]]</f>
        <v>46243.720243055555</v>
      </c>
    </row>
    <row r="140" spans="1:5">
      <c r="A140">
        <v>371</v>
      </c>
      <c r="B140" s="2">
        <v>4950</v>
      </c>
      <c r="C140" t="s">
        <v>15</v>
      </c>
      <c r="D140" s="3">
        <v>46243.720243055555</v>
      </c>
      <c r="E140" s="7">
        <f>CaseDataTable[[#This Row],[Время]]</f>
        <v>46243.720243055555</v>
      </c>
    </row>
    <row r="141" spans="1:5">
      <c r="A141">
        <v>380</v>
      </c>
      <c r="B141" s="2">
        <v>6490</v>
      </c>
      <c r="C141" t="s">
        <v>11</v>
      </c>
      <c r="D141" s="3">
        <v>46243.721655092595</v>
      </c>
      <c r="E141" s="7">
        <f>CaseDataTable[[#This Row],[Время]]</f>
        <v>46243.721655092595</v>
      </c>
    </row>
    <row r="142" spans="1:5">
      <c r="A142">
        <v>184</v>
      </c>
      <c r="B142" s="2">
        <v>4950</v>
      </c>
      <c r="C142" t="s">
        <v>15</v>
      </c>
      <c r="D142" s="3">
        <v>46243.722303240742</v>
      </c>
      <c r="E142" s="7">
        <f>CaseDataTable[[#This Row],[Время]]</f>
        <v>46243.722303240742</v>
      </c>
    </row>
    <row r="143" spans="1:5">
      <c r="A143">
        <v>470</v>
      </c>
      <c r="B143" s="2">
        <v>4950</v>
      </c>
      <c r="C143" t="s">
        <v>11</v>
      </c>
      <c r="D143" s="3">
        <v>46243.725057870368</v>
      </c>
      <c r="E143" s="7">
        <f>CaseDataTable[[#This Row],[Время]]</f>
        <v>46243.725057870368</v>
      </c>
    </row>
    <row r="144" spans="1:5">
      <c r="A144">
        <v>470</v>
      </c>
      <c r="B144" s="2">
        <v>4950</v>
      </c>
      <c r="C144" t="s">
        <v>16</v>
      </c>
      <c r="D144" s="3">
        <v>46243.725057870368</v>
      </c>
      <c r="E144" s="7">
        <f>CaseDataTable[[#This Row],[Время]]</f>
        <v>46243.725057870368</v>
      </c>
    </row>
    <row r="145" spans="1:5">
      <c r="A145">
        <v>319</v>
      </c>
      <c r="B145" s="2">
        <v>4950</v>
      </c>
      <c r="C145" t="s">
        <v>11</v>
      </c>
      <c r="D145" s="3">
        <v>46243.725763888891</v>
      </c>
      <c r="E145" s="7">
        <f>CaseDataTable[[#This Row],[Время]]</f>
        <v>46243.725763888891</v>
      </c>
    </row>
    <row r="146" spans="1:5">
      <c r="A146">
        <v>402</v>
      </c>
      <c r="B146" s="2">
        <v>4995</v>
      </c>
      <c r="C146" t="s">
        <v>11</v>
      </c>
      <c r="D146" s="3">
        <v>46243.726157407407</v>
      </c>
      <c r="E146" s="7">
        <f>CaseDataTable[[#This Row],[Время]]</f>
        <v>46243.726157407407</v>
      </c>
    </row>
    <row r="147" spans="1:5">
      <c r="A147">
        <v>402</v>
      </c>
      <c r="B147" s="2">
        <v>4995</v>
      </c>
      <c r="C147" t="s">
        <v>15</v>
      </c>
      <c r="D147" s="3">
        <v>46243.726157407407</v>
      </c>
      <c r="E147" s="7">
        <f>CaseDataTable[[#This Row],[Время]]</f>
        <v>46243.726157407407</v>
      </c>
    </row>
    <row r="148" spans="1:5">
      <c r="A148">
        <v>563</v>
      </c>
      <c r="B148" s="2">
        <v>6490</v>
      </c>
      <c r="C148" t="s">
        <v>5</v>
      </c>
      <c r="D148" s="3">
        <v>46243.728055555555</v>
      </c>
      <c r="E148" s="7">
        <f>CaseDataTable[[#This Row],[Время]]</f>
        <v>46243.728055555555</v>
      </c>
    </row>
    <row r="149" spans="1:5">
      <c r="A149">
        <v>597</v>
      </c>
      <c r="B149" s="2">
        <v>5990</v>
      </c>
      <c r="C149" t="s">
        <v>11</v>
      </c>
      <c r="D149" s="3">
        <v>46243.7500462963</v>
      </c>
      <c r="E149" s="7">
        <f>CaseDataTable[[#This Row],[Время]]</f>
        <v>46243.7500462963</v>
      </c>
    </row>
    <row r="150" spans="1:5">
      <c r="A150">
        <v>589</v>
      </c>
      <c r="B150" s="2">
        <v>5990</v>
      </c>
      <c r="C150" t="s">
        <v>15</v>
      </c>
      <c r="D150" s="3">
        <v>46243.754525462966</v>
      </c>
      <c r="E150" s="7">
        <f>CaseDataTable[[#This Row],[Время]]</f>
        <v>46243.754525462966</v>
      </c>
    </row>
    <row r="151" spans="1:5">
      <c r="A151">
        <v>65</v>
      </c>
      <c r="B151" s="2">
        <v>6490</v>
      </c>
      <c r="C151" t="s">
        <v>5</v>
      </c>
      <c r="D151" s="3">
        <v>46243.781481481485</v>
      </c>
      <c r="E151" s="7">
        <f>CaseDataTable[[#This Row],[Время]]</f>
        <v>46243.781481481485</v>
      </c>
    </row>
    <row r="152" spans="1:5">
      <c r="A152">
        <v>103</v>
      </c>
      <c r="B152" s="2">
        <v>6490</v>
      </c>
      <c r="C152" t="s">
        <v>5</v>
      </c>
      <c r="D152" s="3">
        <v>46243.782430555555</v>
      </c>
      <c r="E152" s="7">
        <f>CaseDataTable[[#This Row],[Время]]</f>
        <v>46243.782430555555</v>
      </c>
    </row>
    <row r="153" spans="1:5">
      <c r="A153">
        <v>62</v>
      </c>
      <c r="B153" s="2">
        <v>4995</v>
      </c>
      <c r="C153" t="s">
        <v>10</v>
      </c>
      <c r="D153" s="3">
        <v>46243.782743055555</v>
      </c>
      <c r="E153" s="7">
        <f>CaseDataTable[[#This Row],[Время]]</f>
        <v>46243.782743055555</v>
      </c>
    </row>
    <row r="154" spans="1:5">
      <c r="A154">
        <v>62</v>
      </c>
      <c r="B154" s="2">
        <v>4995</v>
      </c>
      <c r="C154" t="s">
        <v>15</v>
      </c>
      <c r="D154" s="3">
        <v>46243.782743055555</v>
      </c>
      <c r="E154" s="7">
        <f>CaseDataTable[[#This Row],[Время]]</f>
        <v>46243.782743055555</v>
      </c>
    </row>
    <row r="155" spans="1:5">
      <c r="A155">
        <v>187</v>
      </c>
      <c r="B155" s="2">
        <v>4495</v>
      </c>
      <c r="C155" t="s">
        <v>15</v>
      </c>
      <c r="D155" s="3">
        <v>46243.783391203702</v>
      </c>
      <c r="E155" s="7">
        <f>CaseDataTable[[#This Row],[Время]]</f>
        <v>46243.783391203702</v>
      </c>
    </row>
    <row r="156" spans="1:5">
      <c r="A156">
        <v>187</v>
      </c>
      <c r="B156" s="2">
        <v>4495</v>
      </c>
      <c r="C156" t="s">
        <v>5</v>
      </c>
      <c r="D156" s="3">
        <v>46243.783391203702</v>
      </c>
      <c r="E156" s="7">
        <f>CaseDataTable[[#This Row],[Время]]</f>
        <v>46243.783391203702</v>
      </c>
    </row>
    <row r="157" spans="1:5">
      <c r="A157">
        <v>369</v>
      </c>
      <c r="B157" s="2">
        <v>4495</v>
      </c>
      <c r="C157" t="s">
        <v>15</v>
      </c>
      <c r="D157" s="3">
        <v>46243.78707175926</v>
      </c>
      <c r="E157" s="7">
        <f>CaseDataTable[[#This Row],[Время]]</f>
        <v>46243.78707175926</v>
      </c>
    </row>
    <row r="158" spans="1:5">
      <c r="A158">
        <v>282</v>
      </c>
      <c r="B158" s="2">
        <v>8745</v>
      </c>
      <c r="C158" t="s">
        <v>4</v>
      </c>
      <c r="D158" s="3">
        <v>46243.788854166669</v>
      </c>
      <c r="E158" s="7">
        <f>CaseDataTable[[#This Row],[Время]]</f>
        <v>46243.788854166669</v>
      </c>
    </row>
    <row r="159" spans="1:5">
      <c r="A159">
        <v>323</v>
      </c>
      <c r="B159" s="2">
        <v>4995</v>
      </c>
      <c r="C159" t="s">
        <v>10</v>
      </c>
      <c r="D159" s="3">
        <v>46243.788993055554</v>
      </c>
      <c r="E159" s="7">
        <f>CaseDataTable[[#This Row],[Время]]</f>
        <v>46243.788993055554</v>
      </c>
    </row>
    <row r="160" spans="1:5">
      <c r="A160">
        <v>323</v>
      </c>
      <c r="B160" s="2">
        <v>4995</v>
      </c>
      <c r="C160" t="s">
        <v>16</v>
      </c>
      <c r="D160" s="3">
        <v>46243.788993055554</v>
      </c>
      <c r="E160" s="7">
        <f>CaseDataTable[[#This Row],[Время]]</f>
        <v>46243.788993055554</v>
      </c>
    </row>
    <row r="161" spans="1:5">
      <c r="A161">
        <v>382</v>
      </c>
      <c r="B161" s="2">
        <v>4450</v>
      </c>
      <c r="C161" t="s">
        <v>11</v>
      </c>
      <c r="D161" s="3">
        <v>46243.790763888886</v>
      </c>
      <c r="E161" s="7">
        <f>CaseDataTable[[#This Row],[Время]]</f>
        <v>46243.790763888886</v>
      </c>
    </row>
    <row r="162" spans="1:5">
      <c r="A162">
        <v>382</v>
      </c>
      <c r="B162" s="2">
        <v>4450</v>
      </c>
      <c r="C162" t="s">
        <v>15</v>
      </c>
      <c r="D162" s="3">
        <v>46243.790763888886</v>
      </c>
      <c r="E162" s="7">
        <f>CaseDataTable[[#This Row],[Время]]</f>
        <v>46243.790763888886</v>
      </c>
    </row>
    <row r="163" spans="1:5">
      <c r="A163">
        <v>228</v>
      </c>
      <c r="B163" s="2">
        <v>6450</v>
      </c>
      <c r="C163" t="s">
        <v>9</v>
      </c>
      <c r="D163" s="3">
        <v>46243.793379629627</v>
      </c>
      <c r="E163" s="7">
        <f>CaseDataTable[[#This Row],[Время]]</f>
        <v>46243.793379629627</v>
      </c>
    </row>
    <row r="164" spans="1:5">
      <c r="A164">
        <v>84</v>
      </c>
      <c r="B164" s="2">
        <v>6490</v>
      </c>
      <c r="C164" t="s">
        <v>10</v>
      </c>
      <c r="D164" s="3">
        <v>46243.796898148146</v>
      </c>
      <c r="E164" s="7">
        <f>CaseDataTable[[#This Row],[Время]]</f>
        <v>46243.796898148146</v>
      </c>
    </row>
    <row r="165" spans="1:5">
      <c r="A165">
        <v>374</v>
      </c>
      <c r="B165" s="2">
        <v>6450</v>
      </c>
      <c r="C165" t="s">
        <v>9</v>
      </c>
      <c r="D165" s="3">
        <v>46243.799861111111</v>
      </c>
      <c r="E165" s="7">
        <f>CaseDataTable[[#This Row],[Время]]</f>
        <v>46243.799861111111</v>
      </c>
    </row>
    <row r="166" spans="1:5">
      <c r="A166">
        <v>63</v>
      </c>
      <c r="B166" s="2">
        <v>6450</v>
      </c>
      <c r="C166" t="s">
        <v>18</v>
      </c>
      <c r="D166" s="3">
        <v>46243.811898148146</v>
      </c>
      <c r="E166" s="7">
        <f>CaseDataTable[[#This Row],[Время]]</f>
        <v>46243.811898148146</v>
      </c>
    </row>
    <row r="167" spans="1:5">
      <c r="A167">
        <v>63</v>
      </c>
      <c r="B167" s="2">
        <v>6450</v>
      </c>
      <c r="C167" t="s">
        <v>9</v>
      </c>
      <c r="D167" s="3">
        <v>46243.811898148146</v>
      </c>
      <c r="E167" s="7">
        <f>CaseDataTable[[#This Row],[Время]]</f>
        <v>46243.811898148146</v>
      </c>
    </row>
    <row r="168" spans="1:5">
      <c r="A168">
        <v>433</v>
      </c>
      <c r="B168" s="2">
        <v>4950</v>
      </c>
      <c r="C168" t="s">
        <v>11</v>
      </c>
      <c r="D168" s="3">
        <v>46243.819872685184</v>
      </c>
      <c r="E168" s="7">
        <f>CaseDataTable[[#This Row],[Время]]</f>
        <v>46243.819872685184</v>
      </c>
    </row>
    <row r="169" spans="1:5">
      <c r="A169">
        <v>433</v>
      </c>
      <c r="B169" s="2">
        <v>4950</v>
      </c>
      <c r="C169" t="s">
        <v>15</v>
      </c>
      <c r="D169" s="3">
        <v>46243.819872685184</v>
      </c>
      <c r="E169" s="7">
        <f>CaseDataTable[[#This Row],[Время]]</f>
        <v>46243.819872685184</v>
      </c>
    </row>
    <row r="170" spans="1:5">
      <c r="A170">
        <v>439</v>
      </c>
      <c r="B170" s="2">
        <v>6490</v>
      </c>
      <c r="C170" t="s">
        <v>10</v>
      </c>
      <c r="D170" s="3">
        <v>46243.847557870373</v>
      </c>
      <c r="E170" s="7">
        <f>CaseDataTable[[#This Row],[Время]]</f>
        <v>46243.847557870373</v>
      </c>
    </row>
    <row r="171" spans="1:5">
      <c r="A171">
        <v>223</v>
      </c>
      <c r="B171" s="2">
        <v>6490</v>
      </c>
      <c r="C171" t="s">
        <v>15</v>
      </c>
      <c r="D171" s="3">
        <v>46243.852418981478</v>
      </c>
      <c r="E171" s="7">
        <f>CaseDataTable[[#This Row],[Время]]</f>
        <v>46243.852418981478</v>
      </c>
    </row>
    <row r="172" spans="1:5">
      <c r="A172">
        <v>508</v>
      </c>
      <c r="B172" s="2">
        <v>4950</v>
      </c>
      <c r="C172" t="s">
        <v>10</v>
      </c>
      <c r="D172" s="3">
        <v>46243.898229166669</v>
      </c>
      <c r="E172" s="7">
        <f>CaseDataTable[[#This Row],[Время]]</f>
        <v>46243.898229166669</v>
      </c>
    </row>
    <row r="173" spans="1:5">
      <c r="A173">
        <v>508</v>
      </c>
      <c r="B173" s="2">
        <v>4950</v>
      </c>
      <c r="C173" t="s">
        <v>15</v>
      </c>
      <c r="D173" s="3">
        <v>46243.898229166669</v>
      </c>
      <c r="E173" s="7">
        <f>CaseDataTable[[#This Row],[Время]]</f>
        <v>46243.898229166669</v>
      </c>
    </row>
    <row r="174" spans="1:5">
      <c r="A174">
        <v>478</v>
      </c>
      <c r="B174" s="2">
        <v>6450</v>
      </c>
      <c r="C174" t="s">
        <v>18</v>
      </c>
      <c r="D174" s="3">
        <v>46244.009664351855</v>
      </c>
      <c r="E174" s="7">
        <f>CaseDataTable[[#This Row],[Время]]</f>
        <v>46244.009664351855</v>
      </c>
    </row>
    <row r="175" spans="1:5">
      <c r="A175">
        <v>57</v>
      </c>
      <c r="B175" s="2">
        <v>4950</v>
      </c>
      <c r="C175" t="s">
        <v>11</v>
      </c>
      <c r="D175" s="3">
        <v>46244.009837962964</v>
      </c>
      <c r="E175" s="7">
        <f>CaseDataTable[[#This Row],[Время]]</f>
        <v>46244.009837962964</v>
      </c>
    </row>
    <row r="176" spans="1:5">
      <c r="A176">
        <v>445</v>
      </c>
      <c r="B176" s="2">
        <v>4950</v>
      </c>
      <c r="C176" t="s">
        <v>17</v>
      </c>
      <c r="D176" s="3">
        <v>46244.025219907409</v>
      </c>
      <c r="E176" s="7">
        <f>CaseDataTable[[#This Row],[Время]]</f>
        <v>46244.025219907409</v>
      </c>
    </row>
    <row r="177" spans="1:5">
      <c r="A177">
        <v>93</v>
      </c>
      <c r="B177" s="2">
        <v>6950</v>
      </c>
      <c r="C177" t="s">
        <v>8</v>
      </c>
      <c r="D177" s="3">
        <v>46244.247361111113</v>
      </c>
      <c r="E177" s="7">
        <f>CaseDataTable[[#This Row],[Время]]</f>
        <v>46244.247361111113</v>
      </c>
    </row>
    <row r="178" spans="1:5">
      <c r="A178">
        <v>186</v>
      </c>
      <c r="B178" s="2">
        <v>4950</v>
      </c>
      <c r="C178" t="s">
        <v>15</v>
      </c>
      <c r="D178" s="3">
        <v>46244.259143518517</v>
      </c>
      <c r="E178" s="7">
        <f>CaseDataTable[[#This Row],[Время]]</f>
        <v>46244.259143518517</v>
      </c>
    </row>
    <row r="179" spans="1:5">
      <c r="A179">
        <v>544</v>
      </c>
      <c r="B179" s="2">
        <v>4995</v>
      </c>
      <c r="C179" t="s">
        <v>16</v>
      </c>
      <c r="D179" s="3">
        <v>46244.268067129633</v>
      </c>
      <c r="E179" s="7">
        <f>CaseDataTable[[#This Row],[Время]]</f>
        <v>46244.268067129633</v>
      </c>
    </row>
    <row r="180" spans="1:5">
      <c r="A180">
        <v>83</v>
      </c>
      <c r="B180" s="2">
        <v>6490</v>
      </c>
      <c r="C180" t="s">
        <v>5</v>
      </c>
      <c r="D180" s="3">
        <v>46244.328287037039</v>
      </c>
      <c r="E180" s="7">
        <f>CaseDataTable[[#This Row],[Время]]</f>
        <v>46244.328287037039</v>
      </c>
    </row>
    <row r="181" spans="1:5">
      <c r="A181">
        <v>152</v>
      </c>
      <c r="B181" s="2">
        <v>6490</v>
      </c>
      <c r="C181" t="s">
        <v>11</v>
      </c>
      <c r="D181" s="3">
        <v>46244.362650462965</v>
      </c>
      <c r="E181" s="7">
        <f>CaseDataTable[[#This Row],[Время]]</f>
        <v>46244.362650462965</v>
      </c>
    </row>
    <row r="182" spans="1:5">
      <c r="A182">
        <v>446</v>
      </c>
      <c r="B182" s="2">
        <v>6950</v>
      </c>
      <c r="C182" t="s">
        <v>18</v>
      </c>
      <c r="D182" s="3">
        <v>46244.376967592594</v>
      </c>
      <c r="E182" s="7">
        <f>CaseDataTable[[#This Row],[Время]]</f>
        <v>46244.376967592594</v>
      </c>
    </row>
    <row r="183" spans="1:5">
      <c r="A183">
        <v>106</v>
      </c>
      <c r="B183" s="2">
        <v>4950</v>
      </c>
      <c r="C183" t="s">
        <v>10</v>
      </c>
      <c r="D183" s="3">
        <v>46244.45349537037</v>
      </c>
      <c r="E183" s="7">
        <f>CaseDataTable[[#This Row],[Время]]</f>
        <v>46244.45349537037</v>
      </c>
    </row>
    <row r="184" spans="1:5">
      <c r="A184">
        <v>106</v>
      </c>
      <c r="B184" s="2">
        <v>4950</v>
      </c>
      <c r="C184" t="s">
        <v>15</v>
      </c>
      <c r="D184" s="3">
        <v>46244.45349537037</v>
      </c>
      <c r="E184" s="7">
        <f>CaseDataTable[[#This Row],[Время]]</f>
        <v>46244.45349537037</v>
      </c>
    </row>
    <row r="185" spans="1:5">
      <c r="A185">
        <v>158</v>
      </c>
      <c r="B185" s="2">
        <v>4700</v>
      </c>
      <c r="C185" t="s">
        <v>10</v>
      </c>
      <c r="D185" s="3">
        <v>46244.526041666664</v>
      </c>
      <c r="E185" s="7">
        <f>CaseDataTable[[#This Row],[Время]]</f>
        <v>46244.526041666664</v>
      </c>
    </row>
    <row r="186" spans="1:5">
      <c r="A186">
        <v>158</v>
      </c>
      <c r="B186" s="2">
        <v>4700</v>
      </c>
      <c r="C186" t="s">
        <v>16</v>
      </c>
      <c r="D186" s="3">
        <v>46244.526041666664</v>
      </c>
      <c r="E186" s="7">
        <f>CaseDataTable[[#This Row],[Время]]</f>
        <v>46244.526041666664</v>
      </c>
    </row>
    <row r="187" spans="1:5">
      <c r="A187">
        <v>164</v>
      </c>
      <c r="B187" s="2">
        <v>8745</v>
      </c>
      <c r="C187" t="s">
        <v>11</v>
      </c>
      <c r="D187" s="3">
        <v>46244.547395833331</v>
      </c>
      <c r="E187" s="7">
        <f>CaseDataTable[[#This Row],[Время]]</f>
        <v>46244.547395833331</v>
      </c>
    </row>
    <row r="188" spans="1:5">
      <c r="A188">
        <v>500</v>
      </c>
      <c r="B188" s="2">
        <v>6490</v>
      </c>
      <c r="C188" t="s">
        <v>5</v>
      </c>
      <c r="D188" s="3">
        <v>46244.556261574071</v>
      </c>
      <c r="E188" s="7">
        <f>CaseDataTable[[#This Row],[Время]]</f>
        <v>46244.556261574071</v>
      </c>
    </row>
    <row r="189" spans="1:5">
      <c r="A189">
        <v>467</v>
      </c>
      <c r="B189" s="2">
        <v>6490</v>
      </c>
      <c r="C189" t="s">
        <v>5</v>
      </c>
      <c r="D189" s="3">
        <v>46244.580439814818</v>
      </c>
      <c r="E189" s="7">
        <f>CaseDataTable[[#This Row],[Время]]</f>
        <v>46244.580439814818</v>
      </c>
    </row>
    <row r="190" spans="1:5">
      <c r="A190">
        <v>217</v>
      </c>
      <c r="B190" s="2">
        <v>6950</v>
      </c>
      <c r="C190" t="s">
        <v>8</v>
      </c>
      <c r="D190" s="3">
        <v>46244.600231481483</v>
      </c>
      <c r="E190" s="7">
        <f>CaseDataTable[[#This Row],[Время]]</f>
        <v>46244.600231481483</v>
      </c>
    </row>
    <row r="191" spans="1:5">
      <c r="A191">
        <v>258</v>
      </c>
      <c r="B191" s="2">
        <v>6490</v>
      </c>
      <c r="C191" t="s">
        <v>16</v>
      </c>
      <c r="D191" s="3">
        <v>46244.627118055556</v>
      </c>
      <c r="E191" s="7">
        <f>CaseDataTable[[#This Row],[Время]]</f>
        <v>46244.627118055556</v>
      </c>
    </row>
    <row r="192" spans="1:5">
      <c r="A192">
        <v>408</v>
      </c>
      <c r="B192" s="2">
        <v>6490</v>
      </c>
      <c r="C192" t="s">
        <v>5</v>
      </c>
      <c r="D192" s="3">
        <v>46244.640752314815</v>
      </c>
      <c r="E192" s="7">
        <f>CaseDataTable[[#This Row],[Время]]</f>
        <v>46244.640752314815</v>
      </c>
    </row>
    <row r="193" spans="1:5">
      <c r="A193">
        <v>584</v>
      </c>
      <c r="B193" s="2">
        <v>6490</v>
      </c>
      <c r="C193" t="s">
        <v>15</v>
      </c>
      <c r="D193" s="3">
        <v>46244.648368055554</v>
      </c>
      <c r="E193" s="7">
        <f>CaseDataTable[[#This Row],[Время]]</f>
        <v>46244.648368055554</v>
      </c>
    </row>
    <row r="194" spans="1:5">
      <c r="A194">
        <v>519</v>
      </c>
      <c r="B194" s="2">
        <v>4950</v>
      </c>
      <c r="C194" t="s">
        <v>15</v>
      </c>
      <c r="D194" s="3">
        <v>46244.673229166663</v>
      </c>
      <c r="E194" s="7">
        <f>CaseDataTable[[#This Row],[Время]]</f>
        <v>46244.673229166663</v>
      </c>
    </row>
    <row r="195" spans="1:5">
      <c r="A195">
        <v>519</v>
      </c>
      <c r="B195" s="2">
        <v>4950</v>
      </c>
      <c r="C195" t="s">
        <v>17</v>
      </c>
      <c r="D195" s="3">
        <v>46244.673229166663</v>
      </c>
      <c r="E195" s="7">
        <f>CaseDataTable[[#This Row],[Время]]</f>
        <v>46244.673229166663</v>
      </c>
    </row>
    <row r="196" spans="1:5">
      <c r="A196">
        <v>519</v>
      </c>
      <c r="B196" s="2">
        <v>4950</v>
      </c>
      <c r="C196" t="s">
        <v>5</v>
      </c>
      <c r="D196" s="3">
        <v>46244.673229166663</v>
      </c>
      <c r="E196" s="7">
        <f>CaseDataTable[[#This Row],[Время]]</f>
        <v>46244.673229166663</v>
      </c>
    </row>
    <row r="197" spans="1:5">
      <c r="A197">
        <v>86</v>
      </c>
      <c r="B197" s="2">
        <v>4950</v>
      </c>
      <c r="C197" t="s">
        <v>15</v>
      </c>
      <c r="D197" s="3">
        <v>46244.678124999999</v>
      </c>
      <c r="E197" s="7">
        <f>CaseDataTable[[#This Row],[Время]]</f>
        <v>46244.678124999999</v>
      </c>
    </row>
    <row r="198" spans="1:5">
      <c r="A198">
        <v>21</v>
      </c>
      <c r="B198" s="2">
        <v>4950</v>
      </c>
      <c r="C198" t="s">
        <v>15</v>
      </c>
      <c r="D198" s="3">
        <v>46244.687222222223</v>
      </c>
      <c r="E198" s="7">
        <f>CaseDataTable[[#This Row],[Время]]</f>
        <v>46244.687222222223</v>
      </c>
    </row>
    <row r="199" spans="1:5">
      <c r="A199">
        <v>21</v>
      </c>
      <c r="B199" s="2">
        <v>4950</v>
      </c>
      <c r="C199" t="s">
        <v>5</v>
      </c>
      <c r="D199" s="3">
        <v>46244.687222222223</v>
      </c>
      <c r="E199" s="7">
        <f>CaseDataTable[[#This Row],[Время]]</f>
        <v>46244.687222222223</v>
      </c>
    </row>
    <row r="200" spans="1:5">
      <c r="A200">
        <v>16</v>
      </c>
      <c r="B200" s="2">
        <v>4950</v>
      </c>
      <c r="C200" t="s">
        <v>11</v>
      </c>
      <c r="D200" s="3">
        <v>46244.706041666665</v>
      </c>
      <c r="E200" s="7">
        <f>CaseDataTable[[#This Row],[Время]]</f>
        <v>46244.706041666665</v>
      </c>
    </row>
    <row r="201" spans="1:5">
      <c r="A201">
        <v>16</v>
      </c>
      <c r="B201" s="2">
        <v>4950</v>
      </c>
      <c r="C201" t="s">
        <v>15</v>
      </c>
      <c r="D201" s="3">
        <v>46244.706041666665</v>
      </c>
      <c r="E201" s="7">
        <f>CaseDataTable[[#This Row],[Время]]</f>
        <v>46244.706041666665</v>
      </c>
    </row>
    <row r="202" spans="1:5">
      <c r="A202">
        <v>67</v>
      </c>
      <c r="B202" s="2">
        <v>6490</v>
      </c>
      <c r="C202" t="s">
        <v>5</v>
      </c>
      <c r="D202" s="3">
        <v>46244.750763888886</v>
      </c>
      <c r="E202" s="7">
        <f>CaseDataTable[[#This Row],[Время]]</f>
        <v>46244.750763888886</v>
      </c>
    </row>
    <row r="203" spans="1:5">
      <c r="A203">
        <v>498</v>
      </c>
      <c r="B203" s="2">
        <v>4500</v>
      </c>
      <c r="C203" t="s">
        <v>17</v>
      </c>
      <c r="D203" s="3">
        <v>46244.757557870369</v>
      </c>
      <c r="E203" s="7">
        <f>CaseDataTable[[#This Row],[Время]]</f>
        <v>46244.757557870369</v>
      </c>
    </row>
    <row r="204" spans="1:5">
      <c r="A204">
        <v>498</v>
      </c>
      <c r="B204" s="2">
        <v>4500</v>
      </c>
      <c r="C204" t="s">
        <v>5</v>
      </c>
      <c r="D204" s="3">
        <v>46244.757557870369</v>
      </c>
      <c r="E204" s="7">
        <f>CaseDataTable[[#This Row],[Время]]</f>
        <v>46244.757557870369</v>
      </c>
    </row>
    <row r="205" spans="1:5">
      <c r="A205">
        <v>52</v>
      </c>
      <c r="B205" s="2">
        <v>6450</v>
      </c>
      <c r="C205" t="s">
        <v>8</v>
      </c>
      <c r="D205" s="3">
        <v>46244.759016203701</v>
      </c>
      <c r="E205" s="7">
        <f>CaseDataTable[[#This Row],[Время]]</f>
        <v>46244.759016203701</v>
      </c>
    </row>
    <row r="206" spans="1:5">
      <c r="A206">
        <v>464</v>
      </c>
      <c r="B206" s="2">
        <v>4500</v>
      </c>
      <c r="C206" t="s">
        <v>5</v>
      </c>
      <c r="D206" s="3">
        <v>46244.77140046296</v>
      </c>
      <c r="E206" s="7">
        <f>CaseDataTable[[#This Row],[Время]]</f>
        <v>46244.77140046296</v>
      </c>
    </row>
    <row r="207" spans="1:5">
      <c r="A207">
        <v>606</v>
      </c>
      <c r="B207" s="2">
        <v>6450</v>
      </c>
      <c r="C207" t="s">
        <v>8</v>
      </c>
      <c r="D207" s="3">
        <v>46244.775000000001</v>
      </c>
      <c r="E207" s="7">
        <f>CaseDataTable[[#This Row],[Время]]</f>
        <v>46244.775000000001</v>
      </c>
    </row>
    <row r="208" spans="1:5">
      <c r="A208">
        <v>546</v>
      </c>
      <c r="B208" s="2">
        <v>6490</v>
      </c>
      <c r="C208" t="s">
        <v>5</v>
      </c>
      <c r="D208" s="3">
        <v>46244.797118055554</v>
      </c>
      <c r="E208" s="7">
        <f>CaseDataTable[[#This Row],[Время]]</f>
        <v>46244.797118055554</v>
      </c>
    </row>
    <row r="209" spans="1:5">
      <c r="A209">
        <v>389</v>
      </c>
      <c r="B209" s="2">
        <v>5990</v>
      </c>
      <c r="C209" t="s">
        <v>5</v>
      </c>
      <c r="D209" s="3">
        <v>46244.800266203703</v>
      </c>
      <c r="E209" s="7">
        <f>CaseDataTable[[#This Row],[Время]]</f>
        <v>46244.800266203703</v>
      </c>
    </row>
    <row r="210" spans="1:5">
      <c r="A210">
        <v>588</v>
      </c>
      <c r="B210" s="2">
        <v>6450</v>
      </c>
      <c r="C210" t="s">
        <v>8</v>
      </c>
      <c r="D210" s="3">
        <v>46245.113854166666</v>
      </c>
      <c r="E210" s="7">
        <f>CaseDataTable[[#This Row],[Время]]</f>
        <v>46245.113854166666</v>
      </c>
    </row>
    <row r="211" spans="1:5">
      <c r="A211">
        <v>173</v>
      </c>
      <c r="B211" s="2">
        <v>4950</v>
      </c>
      <c r="C211" t="s">
        <v>11</v>
      </c>
      <c r="D211" s="3">
        <v>46245.325416666667</v>
      </c>
      <c r="E211" s="7">
        <f>CaseDataTable[[#This Row],[Время]]</f>
        <v>46245.325416666667</v>
      </c>
    </row>
    <row r="212" spans="1:5">
      <c r="A212">
        <v>173</v>
      </c>
      <c r="B212" s="2">
        <v>4950</v>
      </c>
      <c r="C212" t="s">
        <v>15</v>
      </c>
      <c r="D212" s="3">
        <v>46245.325416666667</v>
      </c>
      <c r="E212" s="7">
        <f>CaseDataTable[[#This Row],[Время]]</f>
        <v>46245.325416666667</v>
      </c>
    </row>
    <row r="213" spans="1:5">
      <c r="A213">
        <v>417</v>
      </c>
      <c r="B213" s="2">
        <v>6950</v>
      </c>
      <c r="C213" t="s">
        <v>8</v>
      </c>
      <c r="D213" s="3">
        <v>46245.452708333331</v>
      </c>
      <c r="E213" s="7">
        <f>CaseDataTable[[#This Row],[Время]]</f>
        <v>46245.452708333331</v>
      </c>
    </row>
    <row r="214" spans="1:5">
      <c r="A214">
        <v>281</v>
      </c>
      <c r="B214" s="2">
        <v>4950</v>
      </c>
      <c r="C214" t="s">
        <v>11</v>
      </c>
      <c r="D214" s="3">
        <v>46245.501481481479</v>
      </c>
      <c r="E214" s="7">
        <f>CaseDataTable[[#This Row],[Время]]</f>
        <v>46245.501481481479</v>
      </c>
    </row>
    <row r="215" spans="1:5">
      <c r="A215">
        <v>339</v>
      </c>
      <c r="B215" s="2">
        <v>6450</v>
      </c>
      <c r="C215" t="s">
        <v>8</v>
      </c>
      <c r="D215" s="3">
        <v>46245.5155787037</v>
      </c>
      <c r="E215" s="7">
        <f>CaseDataTable[[#This Row],[Время]]</f>
        <v>46245.5155787037</v>
      </c>
    </row>
    <row r="216" spans="1:5">
      <c r="A216">
        <v>82</v>
      </c>
      <c r="B216" s="2">
        <v>3245</v>
      </c>
      <c r="C216" t="s">
        <v>17</v>
      </c>
      <c r="D216" s="3">
        <v>46245.532106481478</v>
      </c>
      <c r="E216" s="7">
        <f>CaseDataTable[[#This Row],[Время]]</f>
        <v>46245.532106481478</v>
      </c>
    </row>
    <row r="217" spans="1:5">
      <c r="A217">
        <v>82</v>
      </c>
      <c r="B217" s="2">
        <v>3245</v>
      </c>
      <c r="C217" t="s">
        <v>5</v>
      </c>
      <c r="D217" s="3">
        <v>46245.532106481478</v>
      </c>
      <c r="E217" s="7">
        <f>CaseDataTable[[#This Row],[Время]]</f>
        <v>46245.532106481478</v>
      </c>
    </row>
    <row r="218" spans="1:5">
      <c r="A218">
        <v>142</v>
      </c>
      <c r="B218" s="2">
        <v>6490</v>
      </c>
      <c r="C218" t="s">
        <v>5</v>
      </c>
      <c r="D218" s="3">
        <v>46245.659178240741</v>
      </c>
      <c r="E218" s="7">
        <f>CaseDataTable[[#This Row],[Время]]</f>
        <v>46245.659178240741</v>
      </c>
    </row>
    <row r="219" spans="1:5">
      <c r="A219">
        <v>304</v>
      </c>
      <c r="B219" s="2">
        <v>6950</v>
      </c>
      <c r="C219" t="s">
        <v>8</v>
      </c>
      <c r="D219" s="3">
        <v>46245.661574074074</v>
      </c>
      <c r="E219" s="7">
        <f>CaseDataTable[[#This Row],[Время]]</f>
        <v>46245.661574074074</v>
      </c>
    </row>
    <row r="220" spans="1:5">
      <c r="A220">
        <v>311</v>
      </c>
      <c r="B220" s="2">
        <v>4950</v>
      </c>
      <c r="C220" t="s">
        <v>11</v>
      </c>
      <c r="D220" s="3">
        <v>46245.677557870367</v>
      </c>
      <c r="E220" s="7">
        <f>CaseDataTable[[#This Row],[Время]]</f>
        <v>46245.677557870367</v>
      </c>
    </row>
    <row r="221" spans="1:5">
      <c r="A221">
        <v>311</v>
      </c>
      <c r="B221" s="2">
        <v>4950</v>
      </c>
      <c r="C221" t="s">
        <v>15</v>
      </c>
      <c r="D221" s="3">
        <v>46245.677557870367</v>
      </c>
      <c r="E221" s="7">
        <f>CaseDataTable[[#This Row],[Время]]</f>
        <v>46245.677557870367</v>
      </c>
    </row>
    <row r="222" spans="1:5">
      <c r="A222">
        <v>453</v>
      </c>
      <c r="B222" s="2">
        <v>4950</v>
      </c>
      <c r="C222" t="s">
        <v>15</v>
      </c>
      <c r="D222" s="3">
        <v>46245.713807870372</v>
      </c>
      <c r="E222" s="7">
        <f>CaseDataTable[[#This Row],[Время]]</f>
        <v>46245.713807870372</v>
      </c>
    </row>
    <row r="223" spans="1:5">
      <c r="A223">
        <v>505</v>
      </c>
      <c r="B223" s="2">
        <v>4950</v>
      </c>
      <c r="C223" t="s">
        <v>11</v>
      </c>
      <c r="D223" s="3">
        <v>46245.750057870369</v>
      </c>
      <c r="E223" s="7">
        <f>CaseDataTable[[#This Row],[Время]]</f>
        <v>46245.750057870369</v>
      </c>
    </row>
    <row r="224" spans="1:5">
      <c r="A224">
        <v>505</v>
      </c>
      <c r="B224" s="2">
        <v>4950</v>
      </c>
      <c r="C224" t="s">
        <v>15</v>
      </c>
      <c r="D224" s="3">
        <v>46245.750057870369</v>
      </c>
      <c r="E224" s="7">
        <f>CaseDataTable[[#This Row],[Время]]</f>
        <v>46245.750057870369</v>
      </c>
    </row>
    <row r="225" spans="1:5">
      <c r="A225">
        <v>112</v>
      </c>
      <c r="B225" s="2">
        <v>8475</v>
      </c>
      <c r="C225" t="s">
        <v>4</v>
      </c>
      <c r="D225" s="3">
        <v>46245.778958333336</v>
      </c>
      <c r="E225" s="7">
        <f>CaseDataTable[[#This Row],[Время]]</f>
        <v>46245.778958333336</v>
      </c>
    </row>
    <row r="226" spans="1:5">
      <c r="A226">
        <v>112</v>
      </c>
      <c r="B226" s="2">
        <v>8475</v>
      </c>
      <c r="C226" t="s">
        <v>11</v>
      </c>
      <c r="D226" s="3">
        <v>46245.778958333336</v>
      </c>
      <c r="E226" s="7">
        <f>CaseDataTable[[#This Row],[Время]]</f>
        <v>46245.778958333336</v>
      </c>
    </row>
    <row r="227" spans="1:5">
      <c r="A227">
        <v>179</v>
      </c>
      <c r="B227" s="2">
        <v>6490</v>
      </c>
      <c r="C227" t="s">
        <v>5</v>
      </c>
      <c r="D227" s="3">
        <v>46246.087523148148</v>
      </c>
      <c r="E227" s="7">
        <f>CaseDataTable[[#This Row],[Время]]</f>
        <v>46246.087523148148</v>
      </c>
    </row>
    <row r="228" spans="1:5">
      <c r="A228">
        <v>537</v>
      </c>
      <c r="B228" s="2">
        <v>4950</v>
      </c>
      <c r="C228" t="s">
        <v>11</v>
      </c>
      <c r="D228" s="3">
        <v>46246.201192129629</v>
      </c>
      <c r="E228" s="7">
        <f>CaseDataTable[[#This Row],[Время]]</f>
        <v>46246.201192129629</v>
      </c>
    </row>
    <row r="229" spans="1:5">
      <c r="A229">
        <v>537</v>
      </c>
      <c r="B229" s="2">
        <v>4950</v>
      </c>
      <c r="C229" t="s">
        <v>15</v>
      </c>
      <c r="D229" s="3">
        <v>46246.201192129629</v>
      </c>
      <c r="E229" s="7">
        <f>CaseDataTable[[#This Row],[Время]]</f>
        <v>46246.201192129629</v>
      </c>
    </row>
    <row r="230" spans="1:5">
      <c r="A230">
        <v>46</v>
      </c>
      <c r="B230" s="2">
        <v>6450</v>
      </c>
      <c r="C230" t="s">
        <v>8</v>
      </c>
      <c r="D230" s="3">
        <v>46246.217407407406</v>
      </c>
      <c r="E230" s="7">
        <f>CaseDataTable[[#This Row],[Время]]</f>
        <v>46246.217407407406</v>
      </c>
    </row>
    <row r="231" spans="1:5">
      <c r="A231">
        <v>260</v>
      </c>
      <c r="B231" s="2">
        <v>4950</v>
      </c>
      <c r="C231" t="s">
        <v>16</v>
      </c>
      <c r="D231" s="3">
        <v>46246.230682870373</v>
      </c>
      <c r="E231" s="7">
        <f>CaseDataTable[[#This Row],[Время]]</f>
        <v>46246.230682870373</v>
      </c>
    </row>
    <row r="232" spans="1:5">
      <c r="A232">
        <v>260</v>
      </c>
      <c r="B232" s="2">
        <v>4950</v>
      </c>
      <c r="C232" t="s">
        <v>19</v>
      </c>
      <c r="D232" s="3">
        <v>46246.230682870373</v>
      </c>
      <c r="E232" s="7">
        <f>CaseDataTable[[#This Row],[Время]]</f>
        <v>46246.230682870373</v>
      </c>
    </row>
    <row r="233" spans="1:5">
      <c r="A233">
        <v>234</v>
      </c>
      <c r="B233" s="2">
        <v>4950</v>
      </c>
      <c r="C233" t="s">
        <v>11</v>
      </c>
      <c r="D233" s="3">
        <v>46246.252812500003</v>
      </c>
      <c r="E233" s="7">
        <f>CaseDataTable[[#This Row],[Время]]</f>
        <v>46246.252812500003</v>
      </c>
    </row>
    <row r="234" spans="1:5">
      <c r="A234">
        <v>332</v>
      </c>
      <c r="B234" s="2">
        <v>9900</v>
      </c>
      <c r="C234" t="s">
        <v>11</v>
      </c>
      <c r="D234" s="3">
        <v>46246.280613425923</v>
      </c>
      <c r="E234" s="7">
        <f>CaseDataTable[[#This Row],[Время]]</f>
        <v>46246.280613425923</v>
      </c>
    </row>
    <row r="235" spans="1:5">
      <c r="A235">
        <v>41</v>
      </c>
      <c r="B235" s="2">
        <v>6500</v>
      </c>
      <c r="C235" t="s">
        <v>11</v>
      </c>
      <c r="D235" s="3">
        <v>46246.432395833333</v>
      </c>
      <c r="E235" s="7">
        <f>CaseDataTable[[#This Row],[Время]]</f>
        <v>46246.432395833333</v>
      </c>
    </row>
    <row r="236" spans="1:5">
      <c r="A236">
        <v>536</v>
      </c>
      <c r="B236" s="2">
        <v>8475</v>
      </c>
      <c r="C236" t="s">
        <v>17</v>
      </c>
      <c r="D236" s="3">
        <v>46246.515879629631</v>
      </c>
      <c r="E236" s="7">
        <f>CaseDataTable[[#This Row],[Время]]</f>
        <v>46246.515879629631</v>
      </c>
    </row>
    <row r="237" spans="1:5">
      <c r="A237">
        <v>536</v>
      </c>
      <c r="B237" s="2">
        <v>8475</v>
      </c>
      <c r="C237" t="s">
        <v>5</v>
      </c>
      <c r="D237" s="3">
        <v>46246.515879629631</v>
      </c>
      <c r="E237" s="7">
        <f>CaseDataTable[[#This Row],[Время]]</f>
        <v>46246.515879629631</v>
      </c>
    </row>
    <row r="238" spans="1:5">
      <c r="A238">
        <v>460</v>
      </c>
      <c r="B238" s="2">
        <v>8745</v>
      </c>
      <c r="C238" t="s">
        <v>5</v>
      </c>
      <c r="D238" s="3">
        <v>46246.550462962965</v>
      </c>
      <c r="E238" s="7">
        <f>CaseDataTable[[#This Row],[Время]]</f>
        <v>46246.550462962965</v>
      </c>
    </row>
    <row r="239" spans="1:5">
      <c r="A239">
        <v>388</v>
      </c>
      <c r="B239" s="2">
        <v>7000</v>
      </c>
      <c r="C239" t="s">
        <v>11</v>
      </c>
      <c r="D239" s="3">
        <v>46246.561319444445</v>
      </c>
      <c r="E239" s="7">
        <f>CaseDataTable[[#This Row],[Время]]</f>
        <v>46246.561319444445</v>
      </c>
    </row>
    <row r="240" spans="1:5">
      <c r="A240">
        <v>521</v>
      </c>
      <c r="B240" s="2">
        <v>6450</v>
      </c>
      <c r="C240" t="s">
        <v>8</v>
      </c>
      <c r="D240" s="3">
        <v>46246.598506944443</v>
      </c>
      <c r="E240" s="7">
        <f>CaseDataTable[[#This Row],[Время]]</f>
        <v>46246.598506944443</v>
      </c>
    </row>
    <row r="241" spans="1:5">
      <c r="A241">
        <v>586</v>
      </c>
      <c r="B241" s="2">
        <v>8745</v>
      </c>
      <c r="C241" t="s">
        <v>5</v>
      </c>
      <c r="D241" s="3">
        <v>46246.74019675926</v>
      </c>
      <c r="E241" s="7">
        <f>CaseDataTable[[#This Row],[Время]]</f>
        <v>46246.74019675926</v>
      </c>
    </row>
    <row r="242" spans="1:5">
      <c r="A242">
        <v>170</v>
      </c>
      <c r="B242" s="2">
        <v>6000</v>
      </c>
      <c r="C242" t="s">
        <v>11</v>
      </c>
      <c r="D242" s="3">
        <v>46246.743750000001</v>
      </c>
      <c r="E242" s="7">
        <f>CaseDataTable[[#This Row],[Время]]</f>
        <v>46246.743750000001</v>
      </c>
    </row>
    <row r="243" spans="1:5">
      <c r="A243">
        <v>348</v>
      </c>
      <c r="B243" s="2">
        <v>6950</v>
      </c>
      <c r="C243" t="s">
        <v>8</v>
      </c>
      <c r="D243" s="3">
        <v>46246.803715277776</v>
      </c>
      <c r="E243" s="7">
        <f>CaseDataTable[[#This Row],[Время]]</f>
        <v>46246.803715277776</v>
      </c>
    </row>
    <row r="244" spans="1:5">
      <c r="A244">
        <v>364</v>
      </c>
      <c r="B244" s="2">
        <v>8475</v>
      </c>
      <c r="C244" t="s">
        <v>17</v>
      </c>
      <c r="D244" s="3">
        <v>46247.000717592593</v>
      </c>
      <c r="E244" s="7">
        <f>CaseDataTable[[#This Row],[Время]]</f>
        <v>46247.000717592593</v>
      </c>
    </row>
    <row r="245" spans="1:5">
      <c r="A245">
        <v>66</v>
      </c>
      <c r="B245" s="2">
        <v>8745</v>
      </c>
      <c r="C245" t="s">
        <v>15</v>
      </c>
      <c r="D245" s="3">
        <v>46247.233969907407</v>
      </c>
      <c r="E245" s="7">
        <f>CaseDataTable[[#This Row],[Время]]</f>
        <v>46247.233969907407</v>
      </c>
    </row>
    <row r="246" spans="1:5">
      <c r="A246">
        <v>426</v>
      </c>
      <c r="B246" s="2">
        <v>6000</v>
      </c>
      <c r="C246" t="s">
        <v>11</v>
      </c>
      <c r="D246" s="3">
        <v>46247.393310185187</v>
      </c>
      <c r="E246" s="7">
        <f>CaseDataTable[[#This Row],[Время]]</f>
        <v>46247.393310185187</v>
      </c>
    </row>
    <row r="247" spans="1:5">
      <c r="A247">
        <v>342</v>
      </c>
      <c r="B247" s="2">
        <v>9950</v>
      </c>
      <c r="C247" t="s">
        <v>14</v>
      </c>
      <c r="D247" s="3">
        <v>46247.408726851849</v>
      </c>
      <c r="E247" s="7">
        <f>CaseDataTable[[#This Row],[Время]]</f>
        <v>46247.408726851849</v>
      </c>
    </row>
    <row r="248" spans="1:5">
      <c r="A248">
        <v>275</v>
      </c>
      <c r="B248" s="2">
        <v>8745</v>
      </c>
      <c r="C248" t="s">
        <v>15</v>
      </c>
      <c r="D248" s="3">
        <v>46247.410682870373</v>
      </c>
      <c r="E248" s="7">
        <f>CaseDataTable[[#This Row],[Время]]</f>
        <v>46247.410682870373</v>
      </c>
    </row>
    <row r="249" spans="1:5">
      <c r="A249">
        <v>132</v>
      </c>
      <c r="B249" s="2">
        <v>8745</v>
      </c>
      <c r="C249" t="s">
        <v>17</v>
      </c>
      <c r="D249" s="3">
        <v>46247.485567129632</v>
      </c>
      <c r="E249" s="7">
        <f>CaseDataTable[[#This Row],[Время]]</f>
        <v>46247.485567129632</v>
      </c>
    </row>
    <row r="250" spans="1:5">
      <c r="A250">
        <v>175</v>
      </c>
      <c r="B250" s="2">
        <v>9950</v>
      </c>
      <c r="C250" t="s">
        <v>14</v>
      </c>
      <c r="D250" s="3">
        <v>46247.676400462966</v>
      </c>
      <c r="E250" s="7">
        <f>CaseDataTable[[#This Row],[Время]]</f>
        <v>46247.676400462966</v>
      </c>
    </row>
    <row r="251" spans="1:5">
      <c r="A251">
        <v>153</v>
      </c>
      <c r="B251" s="2">
        <v>5750</v>
      </c>
      <c r="C251" t="s">
        <v>16</v>
      </c>
      <c r="D251" s="3">
        <v>46247.771516203706</v>
      </c>
      <c r="E251" s="7">
        <f>CaseDataTable[[#This Row],[Время]]</f>
        <v>46247.771516203706</v>
      </c>
    </row>
    <row r="252" spans="1:5">
      <c r="A252">
        <v>208</v>
      </c>
      <c r="B252" s="2">
        <v>6450</v>
      </c>
      <c r="C252" t="s">
        <v>8</v>
      </c>
      <c r="D252" s="3">
        <v>46247.809224537035</v>
      </c>
      <c r="E252" s="7">
        <f>CaseDataTable[[#This Row],[Время]]</f>
        <v>46247.809224537035</v>
      </c>
    </row>
    <row r="253" spans="1:5">
      <c r="A253">
        <v>79</v>
      </c>
      <c r="B253" s="2">
        <v>9950</v>
      </c>
      <c r="C253" t="s">
        <v>14</v>
      </c>
      <c r="D253" s="3">
        <v>46248.173518518517</v>
      </c>
      <c r="E253" s="7">
        <f>CaseDataTable[[#This Row],[Время]]</f>
        <v>46248.173518518517</v>
      </c>
    </row>
    <row r="254" spans="1:5">
      <c r="A254">
        <v>229</v>
      </c>
      <c r="B254" s="2">
        <v>9950</v>
      </c>
      <c r="C254" t="s">
        <v>14</v>
      </c>
      <c r="D254" s="3">
        <v>46248.18037037037</v>
      </c>
      <c r="E254" s="7">
        <f>CaseDataTable[[#This Row],[Время]]</f>
        <v>46248.18037037037</v>
      </c>
    </row>
    <row r="255" spans="1:5">
      <c r="A255">
        <v>474</v>
      </c>
      <c r="B255" s="2">
        <v>6950</v>
      </c>
      <c r="C255" t="s">
        <v>8</v>
      </c>
      <c r="D255" s="3">
        <v>46248.303148148145</v>
      </c>
      <c r="E255" s="7">
        <f>CaseDataTable[[#This Row],[Время]]</f>
        <v>46248.303148148145</v>
      </c>
    </row>
    <row r="256" spans="1:5">
      <c r="A256">
        <v>45</v>
      </c>
      <c r="B256" s="2">
        <v>5750</v>
      </c>
      <c r="C256" t="s">
        <v>16</v>
      </c>
      <c r="D256" s="3">
        <v>46248.420046296298</v>
      </c>
      <c r="E256" s="7">
        <f>CaseDataTable[[#This Row],[Время]]</f>
        <v>46248.420046296298</v>
      </c>
    </row>
    <row r="257" spans="1:5">
      <c r="A257">
        <v>442</v>
      </c>
      <c r="B257" s="2">
        <v>6950</v>
      </c>
      <c r="C257" t="s">
        <v>8</v>
      </c>
      <c r="D257" s="3">
        <v>46248.473437499997</v>
      </c>
      <c r="E257" s="7">
        <f>CaseDataTable[[#This Row],[Время]]</f>
        <v>46248.473437499997</v>
      </c>
    </row>
    <row r="258" spans="1:5">
      <c r="A258">
        <v>316</v>
      </c>
      <c r="B258" s="2">
        <v>4495</v>
      </c>
      <c r="C258" t="s">
        <v>13</v>
      </c>
      <c r="D258" s="3">
        <v>46248.540995370371</v>
      </c>
      <c r="E258" s="7">
        <f>CaseDataTable[[#This Row],[Время]]</f>
        <v>46248.540995370371</v>
      </c>
    </row>
    <row r="259" spans="1:5">
      <c r="A259">
        <v>448</v>
      </c>
      <c r="B259" s="2">
        <v>8475</v>
      </c>
      <c r="C259" t="s">
        <v>4</v>
      </c>
      <c r="D259" s="3">
        <v>46248.599652777775</v>
      </c>
      <c r="E259" s="7">
        <f>CaseDataTable[[#This Row],[Время]]</f>
        <v>46248.599652777775</v>
      </c>
    </row>
    <row r="260" spans="1:5">
      <c r="A260">
        <v>448</v>
      </c>
      <c r="B260" s="2">
        <v>8475</v>
      </c>
      <c r="C260" t="s">
        <v>11</v>
      </c>
      <c r="D260" s="3">
        <v>46248.599652777775</v>
      </c>
      <c r="E260" s="7">
        <f>CaseDataTable[[#This Row],[Время]]</f>
        <v>46248.599652777775</v>
      </c>
    </row>
    <row r="261" spans="1:5">
      <c r="A261">
        <v>391</v>
      </c>
      <c r="B261" s="2">
        <v>8745</v>
      </c>
      <c r="C261" t="s">
        <v>15</v>
      </c>
      <c r="D261" s="3">
        <v>46248.788321759261</v>
      </c>
      <c r="E261" s="7">
        <f>CaseDataTable[[#This Row],[Время]]</f>
        <v>46248.788321759261</v>
      </c>
    </row>
    <row r="262" spans="1:5">
      <c r="A262">
        <v>420</v>
      </c>
      <c r="B262" s="2">
        <v>6950</v>
      </c>
      <c r="C262" t="s">
        <v>8</v>
      </c>
      <c r="D262" s="3">
        <v>46248.845138888886</v>
      </c>
      <c r="E262" s="7">
        <f>CaseDataTable[[#This Row],[Время]]</f>
        <v>46248.845138888886</v>
      </c>
    </row>
    <row r="263" spans="1:5">
      <c r="A263">
        <v>276</v>
      </c>
      <c r="B263" s="2">
        <v>2875</v>
      </c>
      <c r="C263" t="s">
        <v>11</v>
      </c>
      <c r="D263" s="3">
        <v>46249.530127314814</v>
      </c>
      <c r="E263" s="7">
        <f>CaseDataTable[[#This Row],[Время]]</f>
        <v>46249.530127314814</v>
      </c>
    </row>
    <row r="264" spans="1:5">
      <c r="A264">
        <v>276</v>
      </c>
      <c r="B264" s="2">
        <v>2875</v>
      </c>
      <c r="C264" t="s">
        <v>15</v>
      </c>
      <c r="D264" s="3">
        <v>46249.530127314814</v>
      </c>
      <c r="E264" s="7">
        <f>CaseDataTable[[#This Row],[Время]]</f>
        <v>46249.530127314814</v>
      </c>
    </row>
    <row r="265" spans="1:5">
      <c r="A265">
        <v>162</v>
      </c>
      <c r="B265" s="2">
        <v>6950</v>
      </c>
      <c r="C265" t="s">
        <v>8</v>
      </c>
      <c r="D265" s="3">
        <v>46249.535462962966</v>
      </c>
      <c r="E265" s="7">
        <f>CaseDataTable[[#This Row],[Время]]</f>
        <v>46249.535462962966</v>
      </c>
    </row>
    <row r="266" spans="1:5">
      <c r="A266">
        <v>130</v>
      </c>
      <c r="B266" s="2">
        <v>9950</v>
      </c>
      <c r="C266" t="s">
        <v>16</v>
      </c>
      <c r="D266" s="3">
        <v>46249.624490740738</v>
      </c>
      <c r="E266" s="7">
        <f>CaseDataTable[[#This Row],[Время]]</f>
        <v>46249.624490740738</v>
      </c>
    </row>
    <row r="267" spans="1:5">
      <c r="A267">
        <v>482</v>
      </c>
      <c r="B267" s="2">
        <v>8475</v>
      </c>
      <c r="C267" t="s">
        <v>11</v>
      </c>
      <c r="D267" s="3">
        <v>46249.687685185185</v>
      </c>
      <c r="E267" s="7">
        <f>CaseDataTable[[#This Row],[Время]]</f>
        <v>46249.687685185185</v>
      </c>
    </row>
    <row r="268" spans="1:5">
      <c r="A268">
        <v>482</v>
      </c>
      <c r="B268" s="2">
        <v>8475</v>
      </c>
      <c r="C268" t="s">
        <v>16</v>
      </c>
      <c r="D268" s="3">
        <v>46249.687685185185</v>
      </c>
      <c r="E268" s="7">
        <f>CaseDataTable[[#This Row],[Время]]</f>
        <v>46249.687685185185</v>
      </c>
    </row>
    <row r="269" spans="1:5">
      <c r="A269">
        <v>484</v>
      </c>
      <c r="B269" s="2">
        <v>8745</v>
      </c>
      <c r="C269" t="s">
        <v>5</v>
      </c>
      <c r="D269" s="3">
        <v>46249.804016203707</v>
      </c>
      <c r="E269" s="7">
        <f>CaseDataTable[[#This Row],[Время]]</f>
        <v>46249.804016203707</v>
      </c>
    </row>
    <row r="270" spans="1:5">
      <c r="A270">
        <v>564</v>
      </c>
      <c r="B270" s="2">
        <v>8745</v>
      </c>
      <c r="C270" t="s">
        <v>5</v>
      </c>
      <c r="D270" s="3">
        <v>46250.19321759259</v>
      </c>
      <c r="E270" s="7">
        <f>CaseDataTable[[#This Row],[Время]]</f>
        <v>46250.19321759259</v>
      </c>
    </row>
    <row r="271" spans="1:5">
      <c r="A271">
        <v>479</v>
      </c>
      <c r="B271" s="2">
        <v>8745</v>
      </c>
      <c r="C271" t="s">
        <v>5</v>
      </c>
      <c r="D271" s="3">
        <v>46250.402800925927</v>
      </c>
      <c r="E271" s="7">
        <f>CaseDataTable[[#This Row],[Время]]</f>
        <v>46250.402800925927</v>
      </c>
    </row>
    <row r="272" spans="1:5">
      <c r="A272">
        <v>441</v>
      </c>
      <c r="B272" s="2">
        <v>8745</v>
      </c>
      <c r="C272" t="s">
        <v>15</v>
      </c>
      <c r="D272" s="3">
        <v>46250.403124999997</v>
      </c>
      <c r="E272" s="7">
        <f>CaseDataTable[[#This Row],[Время]]</f>
        <v>46250.403124999997</v>
      </c>
    </row>
    <row r="273" spans="1:5">
      <c r="A273">
        <v>133</v>
      </c>
      <c r="B273" s="2">
        <v>4950</v>
      </c>
      <c r="C273" t="s">
        <v>17</v>
      </c>
      <c r="D273" s="3">
        <v>46250.416400462964</v>
      </c>
      <c r="E273" s="7">
        <f>CaseDataTable[[#This Row],[Время]]</f>
        <v>46250.416400462964</v>
      </c>
    </row>
    <row r="274" spans="1:5">
      <c r="A274">
        <v>133</v>
      </c>
      <c r="B274" s="2">
        <v>4950</v>
      </c>
      <c r="C274" t="s">
        <v>5</v>
      </c>
      <c r="D274" s="3">
        <v>46250.416400462964</v>
      </c>
      <c r="E274" s="7">
        <f>CaseDataTable[[#This Row],[Время]]</f>
        <v>46250.416400462964</v>
      </c>
    </row>
    <row r="275" spans="1:5">
      <c r="A275">
        <v>143</v>
      </c>
      <c r="B275" s="2">
        <v>6950</v>
      </c>
      <c r="C275" t="s">
        <v>8</v>
      </c>
      <c r="D275" s="3">
        <v>46250.556666666664</v>
      </c>
      <c r="E275" s="7">
        <f>CaseDataTable[[#This Row],[Время]]</f>
        <v>46250.556666666664</v>
      </c>
    </row>
    <row r="276" spans="1:5">
      <c r="A276">
        <v>361</v>
      </c>
      <c r="B276" s="2">
        <v>8745</v>
      </c>
      <c r="C276" t="s">
        <v>11</v>
      </c>
      <c r="D276" s="3">
        <v>46251.453958333332</v>
      </c>
      <c r="E276" s="7">
        <f>CaseDataTable[[#This Row],[Время]]</f>
        <v>46251.453958333332</v>
      </c>
    </row>
    <row r="277" spans="1:5">
      <c r="A277">
        <v>361</v>
      </c>
      <c r="B277" s="2">
        <v>8745</v>
      </c>
      <c r="C277" t="s">
        <v>15</v>
      </c>
      <c r="D277" s="3">
        <v>46251.453958333332</v>
      </c>
      <c r="E277" s="7">
        <f>CaseDataTable[[#This Row],[Время]]</f>
        <v>46251.453958333332</v>
      </c>
    </row>
    <row r="278" spans="1:5">
      <c r="A278">
        <v>522</v>
      </c>
      <c r="B278" s="2">
        <v>6950</v>
      </c>
      <c r="C278" t="s">
        <v>8</v>
      </c>
      <c r="D278" s="3">
        <v>46251.683530092596</v>
      </c>
      <c r="E278" s="7">
        <f>CaseDataTable[[#This Row],[Время]]</f>
        <v>46251.683530092596</v>
      </c>
    </row>
    <row r="279" spans="1:5">
      <c r="A279">
        <v>562</v>
      </c>
      <c r="B279" s="2">
        <v>8745</v>
      </c>
      <c r="C279" t="s">
        <v>11</v>
      </c>
      <c r="D279" s="3">
        <v>46251.94054398148</v>
      </c>
      <c r="E279" s="7">
        <f>CaseDataTable[[#This Row],[Время]]</f>
        <v>46251.94054398148</v>
      </c>
    </row>
    <row r="280" spans="1:5">
      <c r="A280">
        <v>346</v>
      </c>
      <c r="B280" s="2">
        <v>8745</v>
      </c>
      <c r="C280" t="s">
        <v>11</v>
      </c>
      <c r="D280" s="3">
        <v>46252.427141203705</v>
      </c>
      <c r="E280" s="7">
        <f>CaseDataTable[[#This Row],[Время]]</f>
        <v>46252.427141203705</v>
      </c>
    </row>
    <row r="281" spans="1:5">
      <c r="A281">
        <v>477</v>
      </c>
      <c r="B281" s="2">
        <v>9450</v>
      </c>
      <c r="C281" t="s">
        <v>6</v>
      </c>
      <c r="D281" s="3">
        <v>46252.629293981481</v>
      </c>
      <c r="E281" s="7">
        <f>CaseDataTable[[#This Row],[Время]]</f>
        <v>46252.629293981481</v>
      </c>
    </row>
    <row r="282" spans="1:5">
      <c r="A282">
        <v>603</v>
      </c>
      <c r="B282" s="2">
        <v>8745</v>
      </c>
      <c r="C282" t="s">
        <v>5</v>
      </c>
      <c r="D282" s="3">
        <v>46252.690729166665</v>
      </c>
      <c r="E282" s="7">
        <f>CaseDataTable[[#This Row],[Время]]</f>
        <v>46252.690729166665</v>
      </c>
    </row>
    <row r="283" spans="1:5">
      <c r="A283">
        <v>75</v>
      </c>
      <c r="B283" s="2">
        <v>8475</v>
      </c>
      <c r="C283" t="s">
        <v>17</v>
      </c>
      <c r="D283" s="3">
        <v>46252.787187499998</v>
      </c>
      <c r="E283" s="7">
        <f>CaseDataTable[[#This Row],[Время]]</f>
        <v>46252.787187499998</v>
      </c>
    </row>
    <row r="284" spans="1:5">
      <c r="A284">
        <v>75</v>
      </c>
      <c r="B284" s="2">
        <v>8475</v>
      </c>
      <c r="C284" t="s">
        <v>5</v>
      </c>
      <c r="D284" s="3">
        <v>46252.787187499998</v>
      </c>
      <c r="E284" s="7">
        <f>CaseDataTable[[#This Row],[Время]]</f>
        <v>46252.787187499998</v>
      </c>
    </row>
    <row r="285" spans="1:5">
      <c r="A285">
        <v>70</v>
      </c>
      <c r="B285" s="2">
        <v>8475</v>
      </c>
      <c r="C285" t="s">
        <v>5</v>
      </c>
      <c r="D285" s="3">
        <v>46252.798657407409</v>
      </c>
      <c r="E285" s="7">
        <f>CaseDataTable[[#This Row],[Время]]</f>
        <v>46252.798657407409</v>
      </c>
    </row>
    <row r="286" spans="1:5">
      <c r="A286">
        <v>413</v>
      </c>
      <c r="B286" s="2">
        <v>8745</v>
      </c>
      <c r="C286" t="s">
        <v>5</v>
      </c>
      <c r="D286" s="3">
        <v>46252.819988425923</v>
      </c>
      <c r="E286" s="7">
        <f>CaseDataTable[[#This Row],[Время]]</f>
        <v>46252.819988425923</v>
      </c>
    </row>
    <row r="287" spans="1:5">
      <c r="A287">
        <v>468</v>
      </c>
      <c r="B287" s="2">
        <v>9450</v>
      </c>
      <c r="C287" t="s">
        <v>6</v>
      </c>
      <c r="D287" s="3">
        <v>46253.298750000002</v>
      </c>
      <c r="E287" s="7">
        <f>CaseDataTable[[#This Row],[Время]]</f>
        <v>46253.298750000002</v>
      </c>
    </row>
    <row r="288" spans="1:5">
      <c r="A288">
        <v>287</v>
      </c>
      <c r="B288" s="2">
        <v>6950</v>
      </c>
      <c r="C288" t="s">
        <v>9</v>
      </c>
      <c r="D288" s="3">
        <v>46253.323692129627</v>
      </c>
      <c r="E288" s="7">
        <f>CaseDataTable[[#This Row],[Время]]</f>
        <v>46253.323692129627</v>
      </c>
    </row>
    <row r="289" spans="1:5">
      <c r="A289">
        <v>575</v>
      </c>
      <c r="B289" s="2">
        <v>8245</v>
      </c>
      <c r="C289" t="s">
        <v>15</v>
      </c>
      <c r="D289" s="3">
        <v>46253.390115740738</v>
      </c>
      <c r="E289" s="7">
        <f>CaseDataTable[[#This Row],[Время]]</f>
        <v>46253.390115740738</v>
      </c>
    </row>
    <row r="290" spans="1:5">
      <c r="A290">
        <v>575</v>
      </c>
      <c r="B290" s="2">
        <v>8245</v>
      </c>
      <c r="C290" t="s">
        <v>17</v>
      </c>
      <c r="D290" s="3">
        <v>46253.390115740738</v>
      </c>
      <c r="E290" s="7">
        <f>CaseDataTable[[#This Row],[Время]]</f>
        <v>46253.390115740738</v>
      </c>
    </row>
    <row r="291" spans="1:5">
      <c r="A291">
        <v>575</v>
      </c>
      <c r="B291" s="2">
        <v>8245</v>
      </c>
      <c r="C291" t="s">
        <v>5</v>
      </c>
      <c r="D291" s="3">
        <v>46253.390115740738</v>
      </c>
      <c r="E291" s="7">
        <f>CaseDataTable[[#This Row],[Время]]</f>
        <v>46253.390115740738</v>
      </c>
    </row>
    <row r="292" spans="1:5">
      <c r="A292">
        <v>386</v>
      </c>
      <c r="B292" s="2">
        <v>7000</v>
      </c>
      <c r="C292" t="s">
        <v>12</v>
      </c>
      <c r="D292" s="3">
        <v>46253.579004629632</v>
      </c>
      <c r="E292" s="7">
        <f>CaseDataTable[[#This Row],[Время]]</f>
        <v>46253.579004629632</v>
      </c>
    </row>
    <row r="293" spans="1:5">
      <c r="A293">
        <v>592</v>
      </c>
      <c r="B293" s="2">
        <v>8245</v>
      </c>
      <c r="C293" t="s">
        <v>15</v>
      </c>
      <c r="D293" s="3">
        <v>46253.85974537037</v>
      </c>
      <c r="E293" s="7">
        <f>CaseDataTable[[#This Row],[Время]]</f>
        <v>46253.85974537037</v>
      </c>
    </row>
    <row r="294" spans="1:5">
      <c r="A294">
        <v>351</v>
      </c>
      <c r="B294" s="2">
        <v>9450</v>
      </c>
      <c r="C294" t="s">
        <v>6</v>
      </c>
      <c r="D294" s="3">
        <v>46254.466956018521</v>
      </c>
      <c r="E294" s="7">
        <f>CaseDataTable[[#This Row],[Время]]</f>
        <v>46254.466956018521</v>
      </c>
    </row>
    <row r="295" spans="1:5">
      <c r="A295">
        <v>392</v>
      </c>
      <c r="B295" s="2">
        <v>8745</v>
      </c>
      <c r="C295" t="s">
        <v>5</v>
      </c>
      <c r="D295" s="3">
        <v>46254.551585648151</v>
      </c>
      <c r="E295" s="7">
        <f>CaseDataTable[[#This Row],[Время]]</f>
        <v>46254.551585648151</v>
      </c>
    </row>
    <row r="296" spans="1:5">
      <c r="A296">
        <v>501</v>
      </c>
      <c r="B296" s="2">
        <v>8745</v>
      </c>
      <c r="C296" t="s">
        <v>11</v>
      </c>
      <c r="D296" s="3">
        <v>46254.587870370371</v>
      </c>
      <c r="E296" s="7">
        <f>CaseDataTable[[#This Row],[Время]]</f>
        <v>46254.587870370371</v>
      </c>
    </row>
    <row r="297" spans="1:5">
      <c r="A297">
        <v>492</v>
      </c>
      <c r="B297" s="2">
        <v>9950</v>
      </c>
      <c r="C297" t="s">
        <v>14</v>
      </c>
      <c r="D297" s="3">
        <v>46254.59851851852</v>
      </c>
      <c r="E297" s="7">
        <f>CaseDataTable[[#This Row],[Время]]</f>
        <v>46254.59851851852</v>
      </c>
    </row>
    <row r="298" spans="1:5">
      <c r="A298">
        <v>146</v>
      </c>
      <c r="B298" s="2">
        <v>6950</v>
      </c>
      <c r="C298" t="s">
        <v>8</v>
      </c>
      <c r="D298" s="3">
        <v>46254.685763888891</v>
      </c>
      <c r="E298" s="7">
        <f>CaseDataTable[[#This Row],[Время]]</f>
        <v>46254.685763888891</v>
      </c>
    </row>
    <row r="299" spans="1:5">
      <c r="A299">
        <v>101</v>
      </c>
      <c r="B299" s="2">
        <v>8745</v>
      </c>
      <c r="C299" t="s">
        <v>15</v>
      </c>
      <c r="D299" s="3">
        <v>46254.731944444444</v>
      </c>
      <c r="E299" s="7">
        <f>CaseDataTable[[#This Row],[Время]]</f>
        <v>46254.731944444444</v>
      </c>
    </row>
    <row r="300" spans="1:5">
      <c r="A300">
        <v>199</v>
      </c>
      <c r="B300" s="2">
        <v>9950</v>
      </c>
      <c r="C300" t="s">
        <v>7</v>
      </c>
      <c r="D300" s="3">
        <v>46255.376597222225</v>
      </c>
      <c r="E300" s="7">
        <f>CaseDataTable[[#This Row],[Время]]</f>
        <v>46255.376597222225</v>
      </c>
    </row>
    <row r="301" spans="1:5">
      <c r="A301">
        <v>578</v>
      </c>
      <c r="B301" s="2">
        <v>8245</v>
      </c>
      <c r="C301" t="s">
        <v>17</v>
      </c>
      <c r="D301" s="3">
        <v>46255.520775462966</v>
      </c>
      <c r="E301" s="7">
        <f>CaseDataTable[[#This Row],[Время]]</f>
        <v>46255.520775462966</v>
      </c>
    </row>
    <row r="302" spans="1:5">
      <c r="A302">
        <v>92</v>
      </c>
      <c r="B302" s="2">
        <v>9950</v>
      </c>
      <c r="C302" t="s">
        <v>6</v>
      </c>
      <c r="D302" s="3">
        <v>46255.63517361111</v>
      </c>
      <c r="E302" s="7">
        <f>CaseDataTable[[#This Row],[Время]]</f>
        <v>46255.63517361111</v>
      </c>
    </row>
    <row r="303" spans="1:5">
      <c r="A303">
        <v>69</v>
      </c>
      <c r="B303" s="2">
        <v>6950</v>
      </c>
      <c r="C303" t="s">
        <v>8</v>
      </c>
      <c r="D303" s="3">
        <v>46256.182442129626</v>
      </c>
      <c r="E303" s="7">
        <f>CaseDataTable[[#This Row],[Время]]</f>
        <v>46256.182442129626</v>
      </c>
    </row>
    <row r="304" spans="1:5">
      <c r="A304">
        <v>437</v>
      </c>
      <c r="B304" s="2">
        <v>8950</v>
      </c>
      <c r="C304" t="s">
        <v>20</v>
      </c>
      <c r="D304" s="3">
        <v>46256.349988425929</v>
      </c>
      <c r="E304" s="7">
        <f>CaseDataTable[[#This Row],[Время]]</f>
        <v>46256.349988425929</v>
      </c>
    </row>
    <row r="305" spans="1:5">
      <c r="A305">
        <v>218</v>
      </c>
      <c r="B305" s="2">
        <v>8475</v>
      </c>
      <c r="C305" t="s">
        <v>12</v>
      </c>
      <c r="D305" s="3">
        <v>46256.377349537041</v>
      </c>
      <c r="E305" s="7">
        <f>CaseDataTable[[#This Row],[Время]]</f>
        <v>46256.377349537041</v>
      </c>
    </row>
    <row r="306" spans="1:5">
      <c r="A306">
        <v>218</v>
      </c>
      <c r="B306" s="2">
        <v>8475</v>
      </c>
      <c r="C306" t="s">
        <v>19</v>
      </c>
      <c r="D306" s="3">
        <v>46256.377349537041</v>
      </c>
      <c r="E306" s="7">
        <f>CaseDataTable[[#This Row],[Время]]</f>
        <v>46256.377349537041</v>
      </c>
    </row>
    <row r="307" spans="1:5">
      <c r="A307">
        <v>156</v>
      </c>
      <c r="B307" s="2">
        <v>7475</v>
      </c>
      <c r="C307" t="s">
        <v>19</v>
      </c>
      <c r="D307" s="3">
        <v>46256.454328703701</v>
      </c>
      <c r="E307" s="7">
        <f>CaseDataTable[[#This Row],[Время]]</f>
        <v>46256.454328703701</v>
      </c>
    </row>
    <row r="308" spans="1:5">
      <c r="A308">
        <v>156</v>
      </c>
      <c r="B308" s="2">
        <v>7475</v>
      </c>
      <c r="C308" t="s">
        <v>15</v>
      </c>
      <c r="D308" s="3">
        <v>46256.454328703701</v>
      </c>
      <c r="E308" s="7">
        <f>CaseDataTable[[#This Row],[Время]]</f>
        <v>46256.454328703701</v>
      </c>
    </row>
    <row r="309" spans="1:5">
      <c r="A309">
        <v>211</v>
      </c>
      <c r="B309" s="2">
        <v>7475</v>
      </c>
      <c r="C309" t="s">
        <v>20</v>
      </c>
      <c r="D309" s="3">
        <v>46256.464166666665</v>
      </c>
      <c r="E309" s="7">
        <f>CaseDataTable[[#This Row],[Время]]</f>
        <v>46256.464166666665</v>
      </c>
    </row>
    <row r="310" spans="1:5">
      <c r="A310">
        <v>211</v>
      </c>
      <c r="B310" s="2">
        <v>7475</v>
      </c>
      <c r="C310" t="s">
        <v>4</v>
      </c>
      <c r="D310" s="3">
        <v>46256.464166666665</v>
      </c>
      <c r="E310" s="7">
        <f>CaseDataTable[[#This Row],[Время]]</f>
        <v>46256.464166666665</v>
      </c>
    </row>
    <row r="311" spans="1:5">
      <c r="A311">
        <v>370</v>
      </c>
      <c r="B311" s="2">
        <v>5750</v>
      </c>
      <c r="C311" t="s">
        <v>12</v>
      </c>
      <c r="D311" s="3">
        <v>46256.468194444446</v>
      </c>
      <c r="E311" s="7">
        <f>CaseDataTable[[#This Row],[Время]]</f>
        <v>46256.468194444446</v>
      </c>
    </row>
    <row r="312" spans="1:5">
      <c r="A312">
        <v>277</v>
      </c>
      <c r="B312" s="2">
        <v>5750</v>
      </c>
      <c r="C312" t="s">
        <v>12</v>
      </c>
      <c r="D312" s="3">
        <v>46256.475613425922</v>
      </c>
      <c r="E312" s="7">
        <f>CaseDataTable[[#This Row],[Время]]</f>
        <v>46256.475613425922</v>
      </c>
    </row>
    <row r="313" spans="1:5">
      <c r="A313">
        <v>293</v>
      </c>
      <c r="B313" s="2">
        <v>8950</v>
      </c>
      <c r="C313" t="s">
        <v>12</v>
      </c>
      <c r="D313" s="3">
        <v>46256.483043981483</v>
      </c>
      <c r="E313" s="7">
        <f>CaseDataTable[[#This Row],[Время]]</f>
        <v>46256.483043981483</v>
      </c>
    </row>
    <row r="314" spans="1:5">
      <c r="A314">
        <v>353</v>
      </c>
      <c r="B314" s="2">
        <v>8950</v>
      </c>
      <c r="C314" t="s">
        <v>5</v>
      </c>
      <c r="D314" s="3">
        <v>46256.485671296294</v>
      </c>
      <c r="E314" s="7">
        <f>CaseDataTable[[#This Row],[Время]]</f>
        <v>46256.485671296294</v>
      </c>
    </row>
    <row r="315" spans="1:5">
      <c r="A315">
        <v>458</v>
      </c>
      <c r="B315" s="2">
        <v>8450</v>
      </c>
      <c r="C315" t="s">
        <v>12</v>
      </c>
      <c r="D315" s="3">
        <v>46256.499039351853</v>
      </c>
      <c r="E315" s="7">
        <f>CaseDataTable[[#This Row],[Время]]</f>
        <v>46256.499039351853</v>
      </c>
    </row>
    <row r="316" spans="1:5">
      <c r="A316">
        <v>87</v>
      </c>
      <c r="B316" s="2">
        <v>7475</v>
      </c>
      <c r="C316" t="s">
        <v>19</v>
      </c>
      <c r="D316" s="3">
        <v>46256.557870370372</v>
      </c>
      <c r="E316" s="7">
        <f>CaseDataTable[[#This Row],[Время]]</f>
        <v>46256.557870370372</v>
      </c>
    </row>
    <row r="317" spans="1:5">
      <c r="A317">
        <v>248</v>
      </c>
      <c r="B317" s="2">
        <v>7475</v>
      </c>
      <c r="C317" t="s">
        <v>4</v>
      </c>
      <c r="D317" s="3">
        <v>46256.572013888886</v>
      </c>
      <c r="E317" s="7">
        <f>CaseDataTable[[#This Row],[Время]]</f>
        <v>46256.572013888886</v>
      </c>
    </row>
    <row r="318" spans="1:5">
      <c r="A318">
        <v>496</v>
      </c>
      <c r="B318" s="2">
        <v>8950</v>
      </c>
      <c r="C318" t="s">
        <v>11</v>
      </c>
      <c r="D318" s="3">
        <v>46256.626122685186</v>
      </c>
      <c r="E318" s="7">
        <f>CaseDataTable[[#This Row],[Время]]</f>
        <v>46256.626122685186</v>
      </c>
    </row>
    <row r="319" spans="1:5">
      <c r="A319">
        <v>372</v>
      </c>
      <c r="B319" s="2">
        <v>7450</v>
      </c>
      <c r="C319" t="s">
        <v>20</v>
      </c>
      <c r="D319" s="3">
        <v>46256.633148148147</v>
      </c>
      <c r="E319" s="7">
        <f>CaseDataTable[[#This Row],[Время]]</f>
        <v>46256.633148148147</v>
      </c>
    </row>
    <row r="320" spans="1:5">
      <c r="A320">
        <v>525</v>
      </c>
      <c r="B320" s="2">
        <v>8950</v>
      </c>
      <c r="C320" t="s">
        <v>5</v>
      </c>
      <c r="D320" s="3">
        <v>46256.652650462966</v>
      </c>
      <c r="E320" s="7">
        <f>CaseDataTable[[#This Row],[Время]]</f>
        <v>46256.652650462966</v>
      </c>
    </row>
    <row r="321" spans="1:5">
      <c r="A321">
        <v>600</v>
      </c>
      <c r="B321" s="2">
        <v>7450</v>
      </c>
      <c r="C321" t="s">
        <v>20</v>
      </c>
      <c r="D321" s="3">
        <v>46256.658483796295</v>
      </c>
      <c r="E321" s="7">
        <f>CaseDataTable[[#This Row],[Время]]</f>
        <v>46256.658483796295</v>
      </c>
    </row>
    <row r="322" spans="1:5">
      <c r="A322">
        <v>485</v>
      </c>
      <c r="B322" s="2">
        <v>8450</v>
      </c>
      <c r="C322" t="s">
        <v>17</v>
      </c>
      <c r="D322" s="3">
        <v>46256.668055555558</v>
      </c>
      <c r="E322" s="7">
        <f>CaseDataTable[[#This Row],[Время]]</f>
        <v>46256.668055555558</v>
      </c>
    </row>
    <row r="323" spans="1:5">
      <c r="A323">
        <v>5</v>
      </c>
      <c r="B323" s="2">
        <v>5750</v>
      </c>
      <c r="C323" t="s">
        <v>4</v>
      </c>
      <c r="D323" s="3">
        <v>46256.679861111108</v>
      </c>
      <c r="E323" s="7">
        <f>CaseDataTable[[#This Row],[Время]]</f>
        <v>46256.679861111108</v>
      </c>
    </row>
    <row r="324" spans="1:5">
      <c r="A324">
        <v>595</v>
      </c>
      <c r="B324" s="2">
        <v>7475</v>
      </c>
      <c r="C324" t="s">
        <v>20</v>
      </c>
      <c r="D324" s="3">
        <v>46256.705543981479</v>
      </c>
      <c r="E324" s="7">
        <f>CaseDataTable[[#This Row],[Время]]</f>
        <v>46256.705543981479</v>
      </c>
    </row>
    <row r="325" spans="1:5">
      <c r="A325">
        <v>595</v>
      </c>
      <c r="B325" s="2">
        <v>7475</v>
      </c>
      <c r="C325" t="s">
        <v>4</v>
      </c>
      <c r="D325" s="3">
        <v>46256.705543981479</v>
      </c>
      <c r="E325" s="7">
        <f>CaseDataTable[[#This Row],[Время]]</f>
        <v>46256.705543981479</v>
      </c>
    </row>
    <row r="326" spans="1:5">
      <c r="A326">
        <v>17</v>
      </c>
      <c r="B326" s="2">
        <v>9950</v>
      </c>
      <c r="C326" t="s">
        <v>16</v>
      </c>
      <c r="D326" s="3">
        <v>46256.70925925926</v>
      </c>
      <c r="E326" s="7">
        <f>CaseDataTable[[#This Row],[Время]]</f>
        <v>46256.70925925926</v>
      </c>
    </row>
    <row r="327" spans="1:5">
      <c r="A327">
        <v>297</v>
      </c>
      <c r="B327" s="2">
        <v>8450</v>
      </c>
      <c r="C327" t="s">
        <v>16</v>
      </c>
      <c r="D327" s="3">
        <v>46256.726469907408</v>
      </c>
      <c r="E327" s="7">
        <f>CaseDataTable[[#This Row],[Время]]</f>
        <v>46256.726469907408</v>
      </c>
    </row>
    <row r="328" spans="1:5">
      <c r="A328">
        <v>240</v>
      </c>
      <c r="B328" s="2">
        <v>6450</v>
      </c>
      <c r="C328" t="s">
        <v>19</v>
      </c>
      <c r="D328" s="3">
        <v>46256.750173611108</v>
      </c>
      <c r="E328" s="7">
        <f>CaseDataTable[[#This Row],[Время]]</f>
        <v>46256.750173611108</v>
      </c>
    </row>
    <row r="329" spans="1:5">
      <c r="A329">
        <v>373</v>
      </c>
      <c r="B329" s="2">
        <v>7475</v>
      </c>
      <c r="C329" t="s">
        <v>19</v>
      </c>
      <c r="D329" s="3">
        <v>46256.790694444448</v>
      </c>
      <c r="E329" s="7">
        <f>CaseDataTable[[#This Row],[Время]]</f>
        <v>46256.790694444448</v>
      </c>
    </row>
    <row r="330" spans="1:5">
      <c r="A330">
        <v>373</v>
      </c>
      <c r="B330" s="2">
        <v>7475</v>
      </c>
      <c r="C330" t="s">
        <v>15</v>
      </c>
      <c r="D330" s="3">
        <v>46256.790694444448</v>
      </c>
      <c r="E330" s="7">
        <f>CaseDataTable[[#This Row],[Время]]</f>
        <v>46256.790694444448</v>
      </c>
    </row>
    <row r="331" spans="1:5">
      <c r="A331">
        <v>220</v>
      </c>
      <c r="B331" s="2">
        <v>9950</v>
      </c>
      <c r="C331" t="s">
        <v>6</v>
      </c>
      <c r="D331" s="3">
        <v>46256.805266203701</v>
      </c>
      <c r="E331" s="7">
        <f>CaseDataTable[[#This Row],[Время]]</f>
        <v>46256.805266203701</v>
      </c>
    </row>
    <row r="332" spans="1:5">
      <c r="A332">
        <v>200</v>
      </c>
      <c r="B332" s="2">
        <v>7475</v>
      </c>
      <c r="C332" t="s">
        <v>17</v>
      </c>
      <c r="D332" s="3">
        <v>46256.81962962963</v>
      </c>
      <c r="E332" s="7">
        <f>CaseDataTable[[#This Row],[Время]]</f>
        <v>46256.81962962963</v>
      </c>
    </row>
    <row r="333" spans="1:5">
      <c r="A333">
        <v>200</v>
      </c>
      <c r="B333" s="2">
        <v>7475</v>
      </c>
      <c r="C333" t="s">
        <v>5</v>
      </c>
      <c r="D333" s="3">
        <v>46256.81962962963</v>
      </c>
      <c r="E333" s="7">
        <f>CaseDataTable[[#This Row],[Время]]</f>
        <v>46256.81962962963</v>
      </c>
    </row>
    <row r="334" spans="1:5">
      <c r="A334">
        <v>263</v>
      </c>
      <c r="B334" s="2">
        <v>8950</v>
      </c>
      <c r="C334" t="s">
        <v>4</v>
      </c>
      <c r="D334" s="3">
        <v>46256.828587962962</v>
      </c>
      <c r="E334" s="7">
        <f>CaseDataTable[[#This Row],[Время]]</f>
        <v>46256.828587962962</v>
      </c>
    </row>
    <row r="335" spans="1:5">
      <c r="A335">
        <v>559</v>
      </c>
      <c r="B335" s="2">
        <v>8450</v>
      </c>
      <c r="C335" t="s">
        <v>16</v>
      </c>
      <c r="D335" s="3">
        <v>46257.174733796295</v>
      </c>
      <c r="E335" s="7">
        <f>CaseDataTable[[#This Row],[Время]]</f>
        <v>46257.174733796295</v>
      </c>
    </row>
    <row r="336" spans="1:5">
      <c r="A336">
        <v>338</v>
      </c>
      <c r="B336" s="2">
        <v>7475</v>
      </c>
      <c r="C336" t="s">
        <v>17</v>
      </c>
      <c r="D336" s="3">
        <v>46257.283067129632</v>
      </c>
      <c r="E336" s="7">
        <f>CaseDataTable[[#This Row],[Время]]</f>
        <v>46257.283067129632</v>
      </c>
    </row>
    <row r="337" spans="1:5">
      <c r="A337">
        <v>338</v>
      </c>
      <c r="B337" s="2">
        <v>7475</v>
      </c>
      <c r="C337" t="s">
        <v>5</v>
      </c>
      <c r="D337" s="3">
        <v>46257.283067129632</v>
      </c>
      <c r="E337" s="7">
        <f>CaseDataTable[[#This Row],[Время]]</f>
        <v>46257.283067129632</v>
      </c>
    </row>
    <row r="338" spans="1:5">
      <c r="A338">
        <v>209</v>
      </c>
      <c r="B338" s="2">
        <v>8950</v>
      </c>
      <c r="C338" t="s">
        <v>12</v>
      </c>
      <c r="D338" s="3">
        <v>46257.290613425925</v>
      </c>
      <c r="E338" s="7">
        <f>CaseDataTable[[#This Row],[Время]]</f>
        <v>46257.290613425925</v>
      </c>
    </row>
    <row r="339" spans="1:5">
      <c r="A339">
        <v>221</v>
      </c>
      <c r="B339" s="2">
        <v>7475</v>
      </c>
      <c r="C339" t="s">
        <v>17</v>
      </c>
      <c r="D339" s="3">
        <v>46257.320567129631</v>
      </c>
      <c r="E339" s="7">
        <f>CaseDataTable[[#This Row],[Время]]</f>
        <v>46257.320567129631</v>
      </c>
    </row>
    <row r="340" spans="1:5">
      <c r="A340">
        <v>221</v>
      </c>
      <c r="B340" s="2">
        <v>7475</v>
      </c>
      <c r="C340" t="s">
        <v>5</v>
      </c>
      <c r="D340" s="3">
        <v>46257.320567129631</v>
      </c>
      <c r="E340" s="7">
        <f>CaseDataTable[[#This Row],[Время]]</f>
        <v>46257.320567129631</v>
      </c>
    </row>
    <row r="341" spans="1:5">
      <c r="A341">
        <v>118</v>
      </c>
      <c r="B341" s="2">
        <v>8450</v>
      </c>
      <c r="C341" t="s">
        <v>12</v>
      </c>
      <c r="D341" s="3">
        <v>46257.35052083333</v>
      </c>
      <c r="E341" s="7">
        <f>CaseDataTable[[#This Row],[Время]]</f>
        <v>46257.35052083333</v>
      </c>
    </row>
    <row r="342" spans="1:5">
      <c r="A342">
        <v>514</v>
      </c>
      <c r="B342" s="2">
        <v>8950</v>
      </c>
      <c r="C342" t="s">
        <v>11</v>
      </c>
      <c r="D342" s="3">
        <v>46257.408425925925</v>
      </c>
      <c r="E342" s="7">
        <f>CaseDataTable[[#This Row],[Время]]</f>
        <v>46257.408425925925</v>
      </c>
    </row>
    <row r="343" spans="1:5">
      <c r="A343">
        <v>312</v>
      </c>
      <c r="B343" s="2">
        <v>7475</v>
      </c>
      <c r="C343" t="s">
        <v>17</v>
      </c>
      <c r="D343" s="3">
        <v>46257.416122685187</v>
      </c>
      <c r="E343" s="7">
        <f>CaseDataTable[[#This Row],[Время]]</f>
        <v>46257.416122685187</v>
      </c>
    </row>
    <row r="344" spans="1:5">
      <c r="A344">
        <v>30</v>
      </c>
      <c r="B344" s="2">
        <v>8950</v>
      </c>
      <c r="C344" t="s">
        <v>4</v>
      </c>
      <c r="D344" s="3">
        <v>46257.421423611115</v>
      </c>
      <c r="E344" s="7">
        <f>CaseDataTable[[#This Row],[Время]]</f>
        <v>46257.421423611115</v>
      </c>
    </row>
    <row r="345" spans="1:5">
      <c r="A345">
        <v>581</v>
      </c>
      <c r="B345" s="2">
        <v>8950</v>
      </c>
      <c r="C345" t="s">
        <v>4</v>
      </c>
      <c r="D345" s="3">
        <v>46257.472071759257</v>
      </c>
      <c r="E345" s="7">
        <f>CaseDataTable[[#This Row],[Время]]</f>
        <v>46257.472071759257</v>
      </c>
    </row>
    <row r="346" spans="1:5">
      <c r="A346">
        <v>341</v>
      </c>
      <c r="B346" s="2">
        <v>8950</v>
      </c>
      <c r="C346" t="s">
        <v>4</v>
      </c>
      <c r="D346" s="3">
        <v>46257.499351851853</v>
      </c>
      <c r="E346" s="7">
        <f>CaseDataTable[[#This Row],[Время]]</f>
        <v>46257.499351851853</v>
      </c>
    </row>
    <row r="347" spans="1:5">
      <c r="A347">
        <v>237</v>
      </c>
      <c r="B347" s="2">
        <v>8950</v>
      </c>
      <c r="C347" t="s">
        <v>20</v>
      </c>
      <c r="D347" s="3">
        <v>46257.562326388892</v>
      </c>
      <c r="E347" s="7">
        <f>CaseDataTable[[#This Row],[Время]]</f>
        <v>46257.562326388892</v>
      </c>
    </row>
    <row r="348" spans="1:5">
      <c r="A348">
        <v>447</v>
      </c>
      <c r="B348" s="2">
        <v>8450</v>
      </c>
      <c r="C348" t="s">
        <v>12</v>
      </c>
      <c r="D348" s="3">
        <v>46257.574259259258</v>
      </c>
      <c r="E348" s="7">
        <f>CaseDataTable[[#This Row],[Время]]</f>
        <v>46257.574259259258</v>
      </c>
    </row>
    <row r="349" spans="1:5">
      <c r="A349">
        <v>98</v>
      </c>
      <c r="B349" s="2">
        <v>7475</v>
      </c>
      <c r="C349" t="s">
        <v>17</v>
      </c>
      <c r="D349" s="3">
        <v>46257.593611111108</v>
      </c>
      <c r="E349" s="7">
        <f>CaseDataTable[[#This Row],[Время]]</f>
        <v>46257.593611111108</v>
      </c>
    </row>
    <row r="350" spans="1:5">
      <c r="A350">
        <v>98</v>
      </c>
      <c r="B350" s="2">
        <v>7475</v>
      </c>
      <c r="C350" t="s">
        <v>5</v>
      </c>
      <c r="D350" s="3">
        <v>46257.593611111108</v>
      </c>
      <c r="E350" s="7">
        <f>CaseDataTable[[#This Row],[Время]]</f>
        <v>46257.593611111108</v>
      </c>
    </row>
    <row r="351" spans="1:5">
      <c r="A351">
        <v>580</v>
      </c>
      <c r="B351" s="2">
        <v>8950</v>
      </c>
      <c r="C351" t="s">
        <v>20</v>
      </c>
      <c r="D351" s="3">
        <v>46257.61005787037</v>
      </c>
      <c r="E351" s="7">
        <f>CaseDataTable[[#This Row],[Время]]</f>
        <v>46257.61005787037</v>
      </c>
    </row>
    <row r="352" spans="1:5">
      <c r="A352">
        <v>71</v>
      </c>
      <c r="B352" s="2">
        <v>8450</v>
      </c>
      <c r="C352" t="s">
        <v>16</v>
      </c>
      <c r="D352" s="3">
        <v>46257.62300925926</v>
      </c>
      <c r="E352" s="7">
        <f>CaseDataTable[[#This Row],[Время]]</f>
        <v>46257.62300925926</v>
      </c>
    </row>
    <row r="353" spans="1:5">
      <c r="A353">
        <v>436</v>
      </c>
      <c r="B353" s="2">
        <v>8450</v>
      </c>
      <c r="C353" t="s">
        <v>19</v>
      </c>
      <c r="D353" s="3">
        <v>46257.628379629627</v>
      </c>
      <c r="E353" s="7">
        <f>CaseDataTable[[#This Row],[Время]]</f>
        <v>46257.628379629627</v>
      </c>
    </row>
    <row r="354" spans="1:5">
      <c r="A354">
        <v>229</v>
      </c>
      <c r="B354" s="2">
        <v>8450</v>
      </c>
      <c r="C354" t="s">
        <v>20</v>
      </c>
      <c r="D354" s="3">
        <v>46257.651979166665</v>
      </c>
      <c r="E354" s="7">
        <f>CaseDataTable[[#This Row],[Время]]</f>
        <v>46257.651979166665</v>
      </c>
    </row>
    <row r="355" spans="1:5">
      <c r="A355">
        <v>307</v>
      </c>
      <c r="B355" s="2">
        <v>8450</v>
      </c>
      <c r="C355" t="s">
        <v>17</v>
      </c>
      <c r="D355" s="3">
        <v>46257.652743055558</v>
      </c>
      <c r="E355" s="7">
        <f>CaseDataTable[[#This Row],[Время]]</f>
        <v>46257.652743055558</v>
      </c>
    </row>
    <row r="356" spans="1:5">
      <c r="A356">
        <v>235</v>
      </c>
      <c r="B356" s="2">
        <v>8450</v>
      </c>
      <c r="C356" t="s">
        <v>20</v>
      </c>
      <c r="D356" s="3">
        <v>46257.669722222221</v>
      </c>
      <c r="E356" s="7">
        <f>CaseDataTable[[#This Row],[Время]]</f>
        <v>46257.669722222221</v>
      </c>
    </row>
    <row r="357" spans="1:5">
      <c r="A357">
        <v>430</v>
      </c>
      <c r="B357" s="2">
        <v>8000</v>
      </c>
      <c r="C357" t="s">
        <v>8</v>
      </c>
      <c r="D357" s="3">
        <v>46257.679120370369</v>
      </c>
      <c r="E357" s="7">
        <f>CaseDataTable[[#This Row],[Время]]</f>
        <v>46257.679120370369</v>
      </c>
    </row>
    <row r="358" spans="1:5">
      <c r="A358">
        <v>172</v>
      </c>
      <c r="B358" s="2">
        <v>8950</v>
      </c>
      <c r="C358" t="s">
        <v>20</v>
      </c>
      <c r="D358" s="3">
        <v>46257.687465277777</v>
      </c>
      <c r="E358" s="7">
        <f>CaseDataTable[[#This Row],[Время]]</f>
        <v>46257.687465277777</v>
      </c>
    </row>
    <row r="359" spans="1:5">
      <c r="A359">
        <v>315</v>
      </c>
      <c r="B359" s="2">
        <v>7475</v>
      </c>
      <c r="C359" t="s">
        <v>20</v>
      </c>
      <c r="D359" s="3">
        <v>46257.694733796299</v>
      </c>
      <c r="E359" s="7">
        <f>CaseDataTable[[#This Row],[Время]]</f>
        <v>46257.694733796299</v>
      </c>
    </row>
    <row r="360" spans="1:5">
      <c r="A360">
        <v>315</v>
      </c>
      <c r="B360" s="2">
        <v>7475</v>
      </c>
      <c r="C360" t="s">
        <v>12</v>
      </c>
      <c r="D360" s="3">
        <v>46257.694733796299</v>
      </c>
      <c r="E360" s="7">
        <f>CaseDataTable[[#This Row],[Время]]</f>
        <v>46257.694733796299</v>
      </c>
    </row>
    <row r="361" spans="1:5">
      <c r="A361">
        <v>149</v>
      </c>
      <c r="B361" s="2">
        <v>8950</v>
      </c>
      <c r="C361" t="s">
        <v>4</v>
      </c>
      <c r="D361" s="3">
        <v>46257.701550925929</v>
      </c>
      <c r="E361" s="7">
        <f>CaseDataTable[[#This Row],[Время]]</f>
        <v>46257.701550925929</v>
      </c>
    </row>
    <row r="362" spans="1:5">
      <c r="A362">
        <v>290</v>
      </c>
      <c r="B362" s="2">
        <v>7475</v>
      </c>
      <c r="C362" t="s">
        <v>5</v>
      </c>
      <c r="D362" s="3">
        <v>46257.70349537037</v>
      </c>
      <c r="E362" s="7">
        <f>CaseDataTable[[#This Row],[Время]]</f>
        <v>46257.70349537037</v>
      </c>
    </row>
    <row r="363" spans="1:5">
      <c r="A363">
        <v>557</v>
      </c>
      <c r="B363" s="2">
        <v>8950</v>
      </c>
      <c r="C363" t="s">
        <v>4</v>
      </c>
      <c r="D363" s="3">
        <v>46257.705682870372</v>
      </c>
      <c r="E363" s="7">
        <f>CaseDataTable[[#This Row],[Время]]</f>
        <v>46257.705682870372</v>
      </c>
    </row>
    <row r="364" spans="1:5">
      <c r="A364">
        <v>513</v>
      </c>
      <c r="B364" s="2">
        <v>6975</v>
      </c>
      <c r="C364" t="s">
        <v>20</v>
      </c>
      <c r="D364" s="3">
        <v>46257.732060185182</v>
      </c>
      <c r="E364" s="7">
        <f>CaseDataTable[[#This Row],[Время]]</f>
        <v>46257.732060185182</v>
      </c>
    </row>
    <row r="365" spans="1:5">
      <c r="A365">
        <v>513</v>
      </c>
      <c r="B365" s="2">
        <v>6975</v>
      </c>
      <c r="C365" t="s">
        <v>19</v>
      </c>
      <c r="D365" s="3">
        <v>46257.732060185182</v>
      </c>
      <c r="E365" s="7">
        <f>CaseDataTable[[#This Row],[Время]]</f>
        <v>46257.732060185182</v>
      </c>
    </row>
    <row r="366" spans="1:5">
      <c r="A366">
        <v>424</v>
      </c>
      <c r="B366" s="2">
        <v>7475</v>
      </c>
      <c r="C366" t="s">
        <v>20</v>
      </c>
      <c r="D366" s="3">
        <v>46257.739942129629</v>
      </c>
      <c r="E366" s="7">
        <f>CaseDataTable[[#This Row],[Время]]</f>
        <v>46257.739942129629</v>
      </c>
    </row>
    <row r="367" spans="1:5">
      <c r="A367">
        <v>424</v>
      </c>
      <c r="B367" s="2">
        <v>7475</v>
      </c>
      <c r="C367" t="s">
        <v>17</v>
      </c>
      <c r="D367" s="3">
        <v>46257.739942129629</v>
      </c>
      <c r="E367" s="7">
        <f>CaseDataTable[[#This Row],[Время]]</f>
        <v>46257.739942129629</v>
      </c>
    </row>
    <row r="368" spans="1:5">
      <c r="A368">
        <v>216</v>
      </c>
      <c r="B368" s="2">
        <v>7475</v>
      </c>
      <c r="C368" t="s">
        <v>20</v>
      </c>
      <c r="D368" s="3">
        <v>46257.759236111109</v>
      </c>
      <c r="E368" s="7">
        <f>CaseDataTable[[#This Row],[Время]]</f>
        <v>46257.759236111109</v>
      </c>
    </row>
    <row r="369" spans="1:5">
      <c r="A369">
        <v>367</v>
      </c>
      <c r="B369" s="2">
        <v>8245</v>
      </c>
      <c r="C369" t="s">
        <v>5</v>
      </c>
      <c r="D369" s="3">
        <v>46257.762673611112</v>
      </c>
      <c r="E369" s="7">
        <f>CaseDataTable[[#This Row],[Время]]</f>
        <v>46257.762673611112</v>
      </c>
    </row>
    <row r="370" spans="1:5">
      <c r="A370">
        <v>542</v>
      </c>
      <c r="B370" s="2">
        <v>8950</v>
      </c>
      <c r="C370" t="s">
        <v>10</v>
      </c>
      <c r="D370" s="3">
        <v>46257.768703703703</v>
      </c>
      <c r="E370" s="7">
        <f>CaseDataTable[[#This Row],[Время]]</f>
        <v>46257.768703703703</v>
      </c>
    </row>
    <row r="371" spans="1:5">
      <c r="A371">
        <v>107</v>
      </c>
      <c r="B371" s="2">
        <v>6975</v>
      </c>
      <c r="C371" t="s">
        <v>20</v>
      </c>
      <c r="D371" s="3">
        <v>46257.769641203704</v>
      </c>
      <c r="E371" s="7">
        <f>CaseDataTable[[#This Row],[Время]]</f>
        <v>46257.769641203704</v>
      </c>
    </row>
    <row r="372" spans="1:5">
      <c r="A372">
        <v>107</v>
      </c>
      <c r="B372" s="2">
        <v>6975</v>
      </c>
      <c r="C372" t="s">
        <v>17</v>
      </c>
      <c r="D372" s="3">
        <v>46257.769641203704</v>
      </c>
      <c r="E372" s="7">
        <f>CaseDataTable[[#This Row],[Время]]</f>
        <v>46257.769641203704</v>
      </c>
    </row>
    <row r="373" spans="1:5">
      <c r="A373">
        <v>298</v>
      </c>
      <c r="B373" s="2">
        <v>6975</v>
      </c>
      <c r="C373" t="s">
        <v>17</v>
      </c>
      <c r="D373" s="3">
        <v>46257.783495370371</v>
      </c>
      <c r="E373" s="7">
        <f>CaseDataTable[[#This Row],[Время]]</f>
        <v>46257.783495370371</v>
      </c>
    </row>
    <row r="374" spans="1:5">
      <c r="A374">
        <v>95</v>
      </c>
      <c r="B374" s="2">
        <v>7475</v>
      </c>
      <c r="C374" t="s">
        <v>20</v>
      </c>
      <c r="D374" s="3">
        <v>46257.797349537039</v>
      </c>
      <c r="E374" s="7">
        <f>CaseDataTable[[#This Row],[Время]]</f>
        <v>46257.797349537039</v>
      </c>
    </row>
    <row r="375" spans="1:5">
      <c r="A375">
        <v>95</v>
      </c>
      <c r="B375" s="2">
        <v>7475</v>
      </c>
      <c r="C375" t="s">
        <v>17</v>
      </c>
      <c r="D375" s="3">
        <v>46257.797349537039</v>
      </c>
      <c r="E375" s="7">
        <f>CaseDataTable[[#This Row],[Время]]</f>
        <v>46257.797349537039</v>
      </c>
    </row>
    <row r="376" spans="1:5">
      <c r="A376">
        <v>203</v>
      </c>
      <c r="B376" s="2">
        <v>7475</v>
      </c>
      <c r="C376" t="s">
        <v>20</v>
      </c>
      <c r="D376" s="3">
        <v>46257.86273148148</v>
      </c>
      <c r="E376" s="7">
        <f>CaseDataTable[[#This Row],[Время]]</f>
        <v>46257.86273148148</v>
      </c>
    </row>
    <row r="377" spans="1:5">
      <c r="A377">
        <v>203</v>
      </c>
      <c r="B377" s="2">
        <v>7475</v>
      </c>
      <c r="C377" t="s">
        <v>17</v>
      </c>
      <c r="D377" s="3">
        <v>46257.86273148148</v>
      </c>
      <c r="E377" s="7">
        <f>CaseDataTable[[#This Row],[Время]]</f>
        <v>46257.86273148148</v>
      </c>
    </row>
    <row r="378" spans="1:5">
      <c r="A378">
        <v>539</v>
      </c>
      <c r="B378" s="2">
        <v>8950</v>
      </c>
      <c r="C378" t="s">
        <v>20</v>
      </c>
      <c r="D378" s="3">
        <v>46257.872002314813</v>
      </c>
      <c r="E378" s="7">
        <f>CaseDataTable[[#This Row],[Время]]</f>
        <v>46257.872002314813</v>
      </c>
    </row>
    <row r="379" spans="1:5">
      <c r="A379">
        <v>257</v>
      </c>
      <c r="B379" s="2">
        <v>8450</v>
      </c>
      <c r="C379" t="s">
        <v>12</v>
      </c>
      <c r="D379" s="3">
        <v>46257.872291666667</v>
      </c>
      <c r="E379" s="7">
        <f>CaseDataTable[[#This Row],[Время]]</f>
        <v>46257.872291666667</v>
      </c>
    </row>
    <row r="380" spans="1:5">
      <c r="A380">
        <v>360</v>
      </c>
      <c r="B380" s="2">
        <v>8950</v>
      </c>
      <c r="C380" t="s">
        <v>20</v>
      </c>
      <c r="D380" s="3">
        <v>46257.873171296298</v>
      </c>
      <c r="E380" s="7">
        <f>CaseDataTable[[#This Row],[Время]]</f>
        <v>46257.873171296298</v>
      </c>
    </row>
    <row r="381" spans="1:5">
      <c r="A381">
        <v>213</v>
      </c>
      <c r="B381" s="2">
        <v>8950</v>
      </c>
      <c r="C381" t="s">
        <v>17</v>
      </c>
      <c r="D381" s="3">
        <v>46257.874050925922</v>
      </c>
      <c r="E381" s="7">
        <f>CaseDataTable[[#This Row],[Время]]</f>
        <v>46257.874050925922</v>
      </c>
    </row>
    <row r="382" spans="1:5">
      <c r="A382">
        <v>104</v>
      </c>
      <c r="B382" s="2">
        <v>7475</v>
      </c>
      <c r="C382" t="s">
        <v>20</v>
      </c>
      <c r="D382" s="3">
        <v>46257.875347222223</v>
      </c>
      <c r="E382" s="7">
        <f>CaseDataTable[[#This Row],[Время]]</f>
        <v>46257.875347222223</v>
      </c>
    </row>
    <row r="383" spans="1:5">
      <c r="A383">
        <v>104</v>
      </c>
      <c r="B383" s="2">
        <v>7475</v>
      </c>
      <c r="C383" t="s">
        <v>4</v>
      </c>
      <c r="D383" s="3">
        <v>46257.875347222223</v>
      </c>
      <c r="E383" s="7">
        <f>CaseDataTable[[#This Row],[Время]]</f>
        <v>46257.875347222223</v>
      </c>
    </row>
    <row r="384" spans="1:5">
      <c r="A384">
        <v>91</v>
      </c>
      <c r="B384" s="2">
        <v>8950</v>
      </c>
      <c r="C384" t="s">
        <v>11</v>
      </c>
      <c r="D384" s="3">
        <v>46258.031018518515</v>
      </c>
      <c r="E384" s="7">
        <f>CaseDataTable[[#This Row],[Время]]</f>
        <v>46258.031018518515</v>
      </c>
    </row>
    <row r="385" spans="1:5">
      <c r="A385">
        <v>357</v>
      </c>
      <c r="B385" s="2">
        <v>9950</v>
      </c>
      <c r="C385" t="s">
        <v>14</v>
      </c>
      <c r="D385" s="3">
        <v>46258.115659722222</v>
      </c>
      <c r="E385" s="7">
        <f>CaseDataTable[[#This Row],[Время]]</f>
        <v>46258.115659722222</v>
      </c>
    </row>
    <row r="386" spans="1:5">
      <c r="A386">
        <v>440</v>
      </c>
      <c r="B386" s="2">
        <v>7475</v>
      </c>
      <c r="C386" t="s">
        <v>4</v>
      </c>
      <c r="D386" s="3">
        <v>46258.13894675926</v>
      </c>
      <c r="E386" s="7">
        <f>CaseDataTable[[#This Row],[Время]]</f>
        <v>46258.13894675926</v>
      </c>
    </row>
    <row r="387" spans="1:5">
      <c r="A387">
        <v>215</v>
      </c>
      <c r="B387" s="2">
        <v>6975</v>
      </c>
      <c r="C387" t="s">
        <v>19</v>
      </c>
      <c r="D387" s="3">
        <v>46258.140694444446</v>
      </c>
      <c r="E387" s="7">
        <f>CaseDataTable[[#This Row],[Время]]</f>
        <v>46258.140694444446</v>
      </c>
    </row>
    <row r="388" spans="1:5">
      <c r="A388">
        <v>549</v>
      </c>
      <c r="B388" s="2">
        <v>8222.5</v>
      </c>
      <c r="C388" t="s">
        <v>20</v>
      </c>
      <c r="D388" s="3">
        <v>46258.225891203707</v>
      </c>
      <c r="E388" s="7">
        <f>CaseDataTable[[#This Row],[Время]]</f>
        <v>46258.225891203707</v>
      </c>
    </row>
    <row r="389" spans="1:5">
      <c r="A389">
        <v>549</v>
      </c>
      <c r="B389" s="2">
        <v>8222.5</v>
      </c>
      <c r="C389" t="s">
        <v>12</v>
      </c>
      <c r="D389" s="3">
        <v>46258.225891203707</v>
      </c>
      <c r="E389" s="7">
        <f>CaseDataTable[[#This Row],[Время]]</f>
        <v>46258.225891203707</v>
      </c>
    </row>
    <row r="390" spans="1:5">
      <c r="A390">
        <v>425</v>
      </c>
      <c r="B390" s="2">
        <v>8503</v>
      </c>
      <c r="C390" t="s">
        <v>20</v>
      </c>
      <c r="D390" s="3">
        <v>46258.29420138889</v>
      </c>
      <c r="E390" s="7">
        <f>CaseDataTable[[#This Row],[Время]]</f>
        <v>46258.29420138889</v>
      </c>
    </row>
    <row r="391" spans="1:5">
      <c r="A391">
        <v>489</v>
      </c>
      <c r="B391" s="2">
        <v>8850</v>
      </c>
      <c r="C391" t="s">
        <v>11</v>
      </c>
      <c r="D391" s="3">
        <v>46258.366261574076</v>
      </c>
      <c r="E391" s="7">
        <f>CaseDataTable[[#This Row],[Время]]</f>
        <v>46258.366261574076</v>
      </c>
    </row>
    <row r="392" spans="1:5">
      <c r="A392">
        <v>243</v>
      </c>
      <c r="B392" s="2">
        <v>8950</v>
      </c>
      <c r="C392" t="s">
        <v>20</v>
      </c>
      <c r="D392" s="3">
        <v>46258.444849537038</v>
      </c>
      <c r="E392" s="7">
        <f>CaseDataTable[[#This Row],[Время]]</f>
        <v>46258.444849537038</v>
      </c>
    </row>
    <row r="393" spans="1:5">
      <c r="A393">
        <v>268</v>
      </c>
      <c r="B393" s="2">
        <v>8950</v>
      </c>
      <c r="C393" t="s">
        <v>20</v>
      </c>
      <c r="D393" s="3">
        <v>46258.536678240744</v>
      </c>
      <c r="E393" s="7">
        <f>CaseDataTable[[#This Row],[Время]]</f>
        <v>46258.536678240744</v>
      </c>
    </row>
    <row r="394" spans="1:5">
      <c r="A394">
        <v>529</v>
      </c>
      <c r="B394" s="2">
        <v>7475</v>
      </c>
      <c r="C394" t="s">
        <v>19</v>
      </c>
      <c r="D394" s="3">
        <v>46258.549340277779</v>
      </c>
      <c r="E394" s="7">
        <f>CaseDataTable[[#This Row],[Время]]</f>
        <v>46258.549340277779</v>
      </c>
    </row>
    <row r="395" spans="1:5">
      <c r="A395">
        <v>529</v>
      </c>
      <c r="B395" s="2">
        <v>7475</v>
      </c>
      <c r="C395" t="s">
        <v>15</v>
      </c>
      <c r="D395" s="3">
        <v>46258.549340277779</v>
      </c>
      <c r="E395" s="7">
        <f>CaseDataTable[[#This Row],[Время]]</f>
        <v>46258.549340277779</v>
      </c>
    </row>
    <row r="396" spans="1:5">
      <c r="A396">
        <v>368</v>
      </c>
      <c r="B396" s="2">
        <v>8950</v>
      </c>
      <c r="C396" t="s">
        <v>17</v>
      </c>
      <c r="D396" s="3">
        <v>46258.598032407404</v>
      </c>
      <c r="E396" s="7">
        <f>CaseDataTable[[#This Row],[Время]]</f>
        <v>46258.598032407404</v>
      </c>
    </row>
    <row r="397" spans="1:5">
      <c r="A397">
        <v>141</v>
      </c>
      <c r="B397" s="2">
        <v>7475</v>
      </c>
      <c r="C397" t="s">
        <v>15</v>
      </c>
      <c r="D397" s="3">
        <v>46258.616805555554</v>
      </c>
      <c r="E397" s="7">
        <f>CaseDataTable[[#This Row],[Время]]</f>
        <v>46258.616805555554</v>
      </c>
    </row>
    <row r="398" spans="1:5">
      <c r="A398">
        <v>192</v>
      </c>
      <c r="B398" s="2">
        <v>7475</v>
      </c>
      <c r="C398" t="s">
        <v>20</v>
      </c>
      <c r="D398" s="3">
        <v>46258.628518518519</v>
      </c>
      <c r="E398" s="7">
        <f>CaseDataTable[[#This Row],[Время]]</f>
        <v>46258.628518518519</v>
      </c>
    </row>
    <row r="399" spans="1:5">
      <c r="A399">
        <v>192</v>
      </c>
      <c r="B399" s="2">
        <v>7475</v>
      </c>
      <c r="C399" t="s">
        <v>4</v>
      </c>
      <c r="D399" s="3">
        <v>46258.628518518519</v>
      </c>
      <c r="E399" s="7">
        <f>CaseDataTable[[#This Row],[Время]]</f>
        <v>46258.628518518519</v>
      </c>
    </row>
    <row r="400" spans="1:5">
      <c r="A400">
        <v>475</v>
      </c>
      <c r="B400" s="2">
        <v>9950</v>
      </c>
      <c r="C400" t="s">
        <v>6</v>
      </c>
      <c r="D400" s="3">
        <v>46258.636469907404</v>
      </c>
      <c r="E400" s="7">
        <f>CaseDataTable[[#This Row],[Время]]</f>
        <v>46258.636469907404</v>
      </c>
    </row>
    <row r="401" spans="1:5">
      <c r="A401">
        <v>85</v>
      </c>
      <c r="B401" s="2">
        <v>8950</v>
      </c>
      <c r="C401" t="s">
        <v>17</v>
      </c>
      <c r="D401" s="3">
        <v>46258.664953703701</v>
      </c>
      <c r="E401" s="7">
        <f>CaseDataTable[[#This Row],[Время]]</f>
        <v>46258.664953703701</v>
      </c>
    </row>
    <row r="402" spans="1:5">
      <c r="A402">
        <v>194</v>
      </c>
      <c r="B402" s="2">
        <v>8950</v>
      </c>
      <c r="C402" t="s">
        <v>15</v>
      </c>
      <c r="D402" s="3">
        <v>46258.684270833335</v>
      </c>
      <c r="E402" s="7">
        <f>CaseDataTable[[#This Row],[Время]]</f>
        <v>46258.684270833335</v>
      </c>
    </row>
    <row r="403" spans="1:5">
      <c r="A403">
        <v>111</v>
      </c>
      <c r="B403" s="2">
        <v>8950</v>
      </c>
      <c r="C403" t="s">
        <v>17</v>
      </c>
      <c r="D403" s="3">
        <v>46258.700995370367</v>
      </c>
      <c r="E403" s="7">
        <f>CaseDataTable[[#This Row],[Время]]</f>
        <v>46258.700995370367</v>
      </c>
    </row>
    <row r="404" spans="1:5">
      <c r="A404">
        <v>299</v>
      </c>
      <c r="B404" s="2">
        <v>8950</v>
      </c>
      <c r="C404" t="s">
        <v>17</v>
      </c>
      <c r="D404" s="3">
        <v>46258.70716435185</v>
      </c>
      <c r="E404" s="7">
        <f>CaseDataTable[[#This Row],[Время]]</f>
        <v>46258.70716435185</v>
      </c>
    </row>
    <row r="405" spans="1:5">
      <c r="A405">
        <v>201</v>
      </c>
      <c r="B405" s="2">
        <v>6950</v>
      </c>
      <c r="C405" t="s">
        <v>9</v>
      </c>
      <c r="D405" s="3">
        <v>46258.728009259263</v>
      </c>
      <c r="E405" s="7">
        <f>CaseDataTable[[#This Row],[Время]]</f>
        <v>46258.728009259263</v>
      </c>
    </row>
    <row r="406" spans="1:5">
      <c r="A406">
        <v>263</v>
      </c>
      <c r="B406" s="2">
        <v>6000</v>
      </c>
      <c r="C406" t="s">
        <v>20</v>
      </c>
      <c r="D406" s="3">
        <v>46259.13863425926</v>
      </c>
      <c r="E406" s="7">
        <f>CaseDataTable[[#This Row],[Время]]</f>
        <v>46259.13863425926</v>
      </c>
    </row>
    <row r="407" spans="1:5">
      <c r="A407">
        <v>583</v>
      </c>
      <c r="B407" s="2">
        <v>8950</v>
      </c>
      <c r="C407" t="s">
        <v>20</v>
      </c>
      <c r="D407" s="3">
        <v>46259.185856481483</v>
      </c>
      <c r="E407" s="7">
        <f>CaseDataTable[[#This Row],[Время]]</f>
        <v>46259.185856481483</v>
      </c>
    </row>
    <row r="408" spans="1:5">
      <c r="A408">
        <v>168</v>
      </c>
      <c r="B408" s="2">
        <v>7475</v>
      </c>
      <c r="C408" t="s">
        <v>20</v>
      </c>
      <c r="D408" s="3">
        <v>46259.268101851849</v>
      </c>
      <c r="E408" s="7">
        <f>CaseDataTable[[#This Row],[Время]]</f>
        <v>46259.268101851849</v>
      </c>
    </row>
    <row r="409" spans="1:5">
      <c r="A409">
        <v>168</v>
      </c>
      <c r="B409" s="2">
        <v>7475</v>
      </c>
      <c r="C409" t="s">
        <v>4</v>
      </c>
      <c r="D409" s="3">
        <v>46259.268101851849</v>
      </c>
      <c r="E409" s="7">
        <f>CaseDataTable[[#This Row],[Время]]</f>
        <v>46259.268101851849</v>
      </c>
    </row>
    <row r="410" spans="1:5">
      <c r="A410">
        <v>165</v>
      </c>
      <c r="B410" s="2">
        <v>8450</v>
      </c>
      <c r="C410" t="s">
        <v>17</v>
      </c>
      <c r="D410" s="3">
        <v>46259.306689814817</v>
      </c>
      <c r="E410" s="7">
        <f>CaseDataTable[[#This Row],[Время]]</f>
        <v>46259.306689814817</v>
      </c>
    </row>
    <row r="411" spans="1:5">
      <c r="A411">
        <v>455</v>
      </c>
      <c r="B411" s="2">
        <v>8950</v>
      </c>
      <c r="C411" t="s">
        <v>10</v>
      </c>
      <c r="D411" s="3">
        <v>46259.329050925924</v>
      </c>
      <c r="E411" s="7">
        <f>CaseDataTable[[#This Row],[Время]]</f>
        <v>46259.329050925924</v>
      </c>
    </row>
    <row r="412" spans="1:5">
      <c r="A412">
        <v>148</v>
      </c>
      <c r="B412" s="2">
        <v>7475</v>
      </c>
      <c r="C412" t="s">
        <v>20</v>
      </c>
      <c r="D412" s="3">
        <v>46259.409317129626</v>
      </c>
      <c r="E412" s="7">
        <f>CaseDataTable[[#This Row],[Время]]</f>
        <v>46259.409317129626</v>
      </c>
    </row>
    <row r="413" spans="1:5">
      <c r="A413">
        <v>116</v>
      </c>
      <c r="B413" s="2">
        <v>7475</v>
      </c>
      <c r="C413" t="s">
        <v>13</v>
      </c>
      <c r="D413" s="3">
        <v>46259.417384259257</v>
      </c>
      <c r="E413" s="7">
        <f>CaseDataTable[[#This Row],[Время]]</f>
        <v>46259.417384259257</v>
      </c>
    </row>
    <row r="414" spans="1:5">
      <c r="A414">
        <v>116</v>
      </c>
      <c r="B414" s="2">
        <v>7475</v>
      </c>
      <c r="C414" t="s">
        <v>17</v>
      </c>
      <c r="D414" s="3">
        <v>46259.417384259257</v>
      </c>
      <c r="E414" s="7">
        <f>CaseDataTable[[#This Row],[Время]]</f>
        <v>46259.417384259257</v>
      </c>
    </row>
    <row r="415" spans="1:5">
      <c r="A415">
        <v>121</v>
      </c>
      <c r="B415" s="2">
        <v>8950</v>
      </c>
      <c r="C415" t="s">
        <v>20</v>
      </c>
      <c r="D415" s="3">
        <v>46259.48537037037</v>
      </c>
      <c r="E415" s="7">
        <f>CaseDataTable[[#This Row],[Время]]</f>
        <v>46259.48537037037</v>
      </c>
    </row>
    <row r="416" spans="1:5">
      <c r="A416">
        <v>138</v>
      </c>
      <c r="B416" s="2">
        <v>5750</v>
      </c>
      <c r="C416" t="s">
        <v>4</v>
      </c>
      <c r="D416" s="3">
        <v>46259.527175925927</v>
      </c>
      <c r="E416" s="7">
        <f>CaseDataTable[[#This Row],[Время]]</f>
        <v>46259.527175925927</v>
      </c>
    </row>
    <row r="417" spans="1:5">
      <c r="A417">
        <v>463</v>
      </c>
      <c r="B417" s="2">
        <v>8950</v>
      </c>
      <c r="C417" t="s">
        <v>4</v>
      </c>
      <c r="D417" s="3">
        <v>46259.553136574075</v>
      </c>
      <c r="E417" s="7">
        <f>CaseDataTable[[#This Row],[Время]]</f>
        <v>46259.553136574075</v>
      </c>
    </row>
    <row r="418" spans="1:5">
      <c r="A418">
        <v>560</v>
      </c>
      <c r="B418" s="2">
        <v>8950</v>
      </c>
      <c r="C418" t="s">
        <v>20</v>
      </c>
      <c r="D418" s="3">
        <v>46259.590173611112</v>
      </c>
      <c r="E418" s="7">
        <f>CaseDataTable[[#This Row],[Время]]</f>
        <v>46259.590173611112</v>
      </c>
    </row>
    <row r="419" spans="1:5">
      <c r="A419">
        <v>140</v>
      </c>
      <c r="B419" s="2">
        <v>8450</v>
      </c>
      <c r="C419" t="s">
        <v>5</v>
      </c>
      <c r="D419" s="3">
        <v>46259.667939814812</v>
      </c>
      <c r="E419" s="7">
        <f>CaseDataTable[[#This Row],[Время]]</f>
        <v>46259.667939814812</v>
      </c>
    </row>
    <row r="420" spans="1:5">
      <c r="A420">
        <v>202</v>
      </c>
      <c r="B420" s="2">
        <v>7475</v>
      </c>
      <c r="C420" t="s">
        <v>20</v>
      </c>
      <c r="D420" s="3">
        <v>46259.808495370373</v>
      </c>
      <c r="E420" s="7">
        <f>CaseDataTable[[#This Row],[Время]]</f>
        <v>46259.808495370373</v>
      </c>
    </row>
    <row r="421" spans="1:5">
      <c r="A421">
        <v>202</v>
      </c>
      <c r="B421" s="2">
        <v>7475</v>
      </c>
      <c r="C421" t="s">
        <v>12</v>
      </c>
      <c r="D421" s="3">
        <v>46259.808495370373</v>
      </c>
      <c r="E421" s="7">
        <f>CaseDataTable[[#This Row],[Время]]</f>
        <v>46259.808495370373</v>
      </c>
    </row>
    <row r="422" spans="1:5">
      <c r="A422">
        <v>452</v>
      </c>
      <c r="B422" s="2">
        <v>8450</v>
      </c>
      <c r="C422" t="s">
        <v>20</v>
      </c>
      <c r="D422" s="3">
        <v>46259.881643518522</v>
      </c>
      <c r="E422" s="7">
        <f>CaseDataTable[[#This Row],[Время]]</f>
        <v>46259.881643518522</v>
      </c>
    </row>
    <row r="423" spans="1:5">
      <c r="A423">
        <v>269</v>
      </c>
      <c r="B423" s="2">
        <v>7475</v>
      </c>
      <c r="C423" t="s">
        <v>12</v>
      </c>
      <c r="D423" s="3">
        <v>46259.934756944444</v>
      </c>
      <c r="E423" s="7">
        <f>CaseDataTable[[#This Row],[Время]]</f>
        <v>46259.934756944444</v>
      </c>
    </row>
    <row r="424" spans="1:5">
      <c r="A424">
        <v>163</v>
      </c>
      <c r="B424" s="2">
        <v>8450</v>
      </c>
      <c r="C424" t="s">
        <v>20</v>
      </c>
      <c r="D424" s="3">
        <v>46260.058009259257</v>
      </c>
      <c r="E424" s="7">
        <f>CaseDataTable[[#This Row],[Время]]</f>
        <v>46260.058009259257</v>
      </c>
    </row>
    <row r="425" spans="1:5">
      <c r="A425">
        <v>418</v>
      </c>
      <c r="B425" s="2">
        <v>7475</v>
      </c>
      <c r="C425" t="s">
        <v>12</v>
      </c>
      <c r="D425" s="3">
        <v>46260.169247685182</v>
      </c>
      <c r="E425" s="7">
        <f>CaseDataTable[[#This Row],[Время]]</f>
        <v>46260.169247685182</v>
      </c>
    </row>
    <row r="426" spans="1:5">
      <c r="A426">
        <v>418</v>
      </c>
      <c r="B426" s="2">
        <v>7475</v>
      </c>
      <c r="C426" t="s">
        <v>10</v>
      </c>
      <c r="D426" s="3">
        <v>46260.169247685182</v>
      </c>
      <c r="E426" s="7">
        <f>CaseDataTable[[#This Row],[Время]]</f>
        <v>46260.169247685182</v>
      </c>
    </row>
    <row r="427" spans="1:5">
      <c r="A427">
        <v>552</v>
      </c>
      <c r="B427" s="2">
        <v>7475</v>
      </c>
      <c r="C427" t="s">
        <v>17</v>
      </c>
      <c r="D427" s="3">
        <v>46260.192499999997</v>
      </c>
      <c r="E427" s="7">
        <f>CaseDataTable[[#This Row],[Время]]</f>
        <v>46260.192499999997</v>
      </c>
    </row>
    <row r="428" spans="1:5">
      <c r="A428">
        <v>605</v>
      </c>
      <c r="B428" s="2">
        <v>8950</v>
      </c>
      <c r="C428" t="s">
        <v>19</v>
      </c>
      <c r="D428" s="3">
        <v>46260.310335648152</v>
      </c>
      <c r="E428" s="7">
        <f>CaseDataTable[[#This Row],[Время]]</f>
        <v>46260.310335648152</v>
      </c>
    </row>
    <row r="429" spans="1:5">
      <c r="A429">
        <v>178</v>
      </c>
      <c r="B429" s="2">
        <v>8950</v>
      </c>
      <c r="C429" t="s">
        <v>20</v>
      </c>
      <c r="D429" s="3">
        <v>46260.385567129626</v>
      </c>
      <c r="E429" s="7">
        <f>CaseDataTable[[#This Row],[Время]]</f>
        <v>46260.385567129626</v>
      </c>
    </row>
    <row r="430" spans="1:5">
      <c r="A430">
        <v>599</v>
      </c>
      <c r="B430" s="2">
        <v>8950</v>
      </c>
      <c r="C430" t="s">
        <v>5</v>
      </c>
      <c r="D430" s="3">
        <v>46260.517476851855</v>
      </c>
      <c r="E430" s="7">
        <f>CaseDataTable[[#This Row],[Время]]</f>
        <v>46260.517476851855</v>
      </c>
    </row>
    <row r="431" spans="1:5">
      <c r="A431">
        <v>466</v>
      </c>
      <c r="B431" s="2">
        <v>8950</v>
      </c>
      <c r="C431" t="s">
        <v>4</v>
      </c>
      <c r="D431" s="3">
        <v>46260.581006944441</v>
      </c>
      <c r="E431" s="7">
        <f>CaseDataTable[[#This Row],[Время]]</f>
        <v>46260.581006944441</v>
      </c>
    </row>
    <row r="432" spans="1:5">
      <c r="A432">
        <v>255</v>
      </c>
      <c r="B432" s="2">
        <v>8950</v>
      </c>
      <c r="C432" t="s">
        <v>11</v>
      </c>
      <c r="D432" s="3">
        <v>46260.620057870372</v>
      </c>
      <c r="E432" s="7">
        <f>CaseDataTable[[#This Row],[Время]]</f>
        <v>46260.620057870372</v>
      </c>
    </row>
    <row r="433" spans="1:5">
      <c r="A433">
        <v>587</v>
      </c>
      <c r="B433" s="2">
        <v>8450</v>
      </c>
      <c r="C433" t="s">
        <v>20</v>
      </c>
      <c r="D433" s="3">
        <v>46260.907881944448</v>
      </c>
      <c r="E433" s="7">
        <f>CaseDataTable[[#This Row],[Время]]</f>
        <v>46260.907881944448</v>
      </c>
    </row>
    <row r="434" spans="1:5">
      <c r="A434">
        <v>136</v>
      </c>
      <c r="B434" s="2">
        <v>7475</v>
      </c>
      <c r="C434" t="s">
        <v>20</v>
      </c>
      <c r="D434" s="3">
        <v>46261.37296296296</v>
      </c>
      <c r="E434" s="7">
        <f>CaseDataTable[[#This Row],[Время]]</f>
        <v>46261.37296296296</v>
      </c>
    </row>
    <row r="435" spans="1:5">
      <c r="A435">
        <v>136</v>
      </c>
      <c r="B435" s="2">
        <v>7475</v>
      </c>
      <c r="C435" t="s">
        <v>12</v>
      </c>
      <c r="D435" s="3">
        <v>46261.37296296296</v>
      </c>
      <c r="E435" s="7">
        <f>CaseDataTable[[#This Row],[Время]]</f>
        <v>46261.37296296296</v>
      </c>
    </row>
    <row r="436" spans="1:5">
      <c r="A436">
        <v>506</v>
      </c>
      <c r="B436" s="2">
        <v>8950</v>
      </c>
      <c r="C436" t="s">
        <v>20</v>
      </c>
      <c r="D436" s="3">
        <v>46261.520208333335</v>
      </c>
      <c r="E436" s="7">
        <f>CaseDataTable[[#This Row],[Время]]</f>
        <v>46261.520208333335</v>
      </c>
    </row>
    <row r="437" spans="1:5">
      <c r="A437">
        <v>526</v>
      </c>
      <c r="B437" s="2">
        <v>8950</v>
      </c>
      <c r="C437" t="s">
        <v>20</v>
      </c>
      <c r="D437" s="3">
        <v>46261.56453703704</v>
      </c>
      <c r="E437" s="7">
        <f>CaseDataTable[[#This Row],[Время]]</f>
        <v>46261.56453703704</v>
      </c>
    </row>
    <row r="438" spans="1:5">
      <c r="A438">
        <v>185</v>
      </c>
      <c r="B438" s="2">
        <v>6975</v>
      </c>
      <c r="C438" t="s">
        <v>20</v>
      </c>
      <c r="D438" s="3">
        <v>46261.608877314815</v>
      </c>
      <c r="E438" s="7">
        <f>CaseDataTable[[#This Row],[Время]]</f>
        <v>46261.608877314815</v>
      </c>
    </row>
    <row r="439" spans="1:5">
      <c r="A439">
        <v>185</v>
      </c>
      <c r="B439" s="2">
        <v>6975</v>
      </c>
      <c r="C439" t="s">
        <v>4</v>
      </c>
      <c r="D439" s="3">
        <v>46261.608877314815</v>
      </c>
      <c r="E439" s="7">
        <f>CaseDataTable[[#This Row],[Время]]</f>
        <v>46261.608877314815</v>
      </c>
    </row>
    <row r="440" spans="1:5">
      <c r="A440">
        <v>568</v>
      </c>
      <c r="B440" s="2">
        <v>7475</v>
      </c>
      <c r="C440" t="s">
        <v>11</v>
      </c>
      <c r="D440" s="3">
        <v>46261.632025462961</v>
      </c>
      <c r="E440" s="7">
        <f>CaseDataTable[[#This Row],[Время]]</f>
        <v>46261.632025462961</v>
      </c>
    </row>
    <row r="441" spans="1:5">
      <c r="A441">
        <v>568</v>
      </c>
      <c r="B441" s="2">
        <v>7475</v>
      </c>
      <c r="C441" t="s">
        <v>17</v>
      </c>
      <c r="D441" s="3">
        <v>46261.632025462961</v>
      </c>
      <c r="E441" s="7">
        <f>CaseDataTable[[#This Row],[Время]]</f>
        <v>46261.632025462961</v>
      </c>
    </row>
    <row r="442" spans="1:5">
      <c r="A442">
        <v>191</v>
      </c>
      <c r="B442" s="2">
        <v>7462.5</v>
      </c>
      <c r="C442" t="s">
        <v>20</v>
      </c>
      <c r="D442" s="3">
        <v>46261.632800925923</v>
      </c>
      <c r="E442" s="7">
        <f>CaseDataTable[[#This Row],[Время]]</f>
        <v>46261.632800925923</v>
      </c>
    </row>
    <row r="443" spans="1:5">
      <c r="A443">
        <v>191</v>
      </c>
      <c r="B443" s="2">
        <v>7462.5</v>
      </c>
      <c r="C443" t="s">
        <v>16</v>
      </c>
      <c r="D443" s="3">
        <v>46261.632800925923</v>
      </c>
      <c r="E443" s="7">
        <f>CaseDataTable[[#This Row],[Время]]</f>
        <v>46261.632800925923</v>
      </c>
    </row>
    <row r="444" spans="1:5">
      <c r="A444">
        <v>191</v>
      </c>
      <c r="B444" s="2">
        <v>7462.5</v>
      </c>
      <c r="C444" t="s">
        <v>7</v>
      </c>
      <c r="D444" s="3">
        <v>46261.632800925923</v>
      </c>
      <c r="E444" s="7">
        <f>CaseDataTable[[#This Row],[Время]]</f>
        <v>46261.632800925923</v>
      </c>
    </row>
    <row r="445" spans="1:5">
      <c r="A445">
        <v>191</v>
      </c>
      <c r="B445" s="2">
        <v>7462.5</v>
      </c>
      <c r="C445" t="s">
        <v>14</v>
      </c>
      <c r="D445" s="3">
        <v>46261.632800925923</v>
      </c>
      <c r="E445" s="7">
        <f>CaseDataTable[[#This Row],[Время]]</f>
        <v>46261.632800925923</v>
      </c>
    </row>
    <row r="446" spans="1:5">
      <c r="A446">
        <v>39</v>
      </c>
      <c r="B446" s="2">
        <v>9950</v>
      </c>
      <c r="C446" t="s">
        <v>7</v>
      </c>
      <c r="D446" s="3">
        <v>46261.710046296299</v>
      </c>
      <c r="E446" s="7">
        <f>CaseDataTable[[#This Row],[Время]]</f>
        <v>46261.710046296299</v>
      </c>
    </row>
    <row r="447" spans="1:5">
      <c r="A447">
        <v>61</v>
      </c>
      <c r="B447" s="2">
        <v>6975</v>
      </c>
      <c r="C447" t="s">
        <v>4</v>
      </c>
      <c r="D447" s="3">
        <v>46261.822604166664</v>
      </c>
      <c r="E447" s="7">
        <f>CaseDataTable[[#This Row],[Время]]</f>
        <v>46261.822604166664</v>
      </c>
    </row>
    <row r="448" spans="1:5">
      <c r="A448">
        <v>61</v>
      </c>
      <c r="B448" s="2">
        <v>6975</v>
      </c>
      <c r="C448" t="s">
        <v>11</v>
      </c>
      <c r="D448" s="3">
        <v>46261.822604166664</v>
      </c>
      <c r="E448" s="7">
        <f>CaseDataTable[[#This Row],[Время]]</f>
        <v>46261.822604166664</v>
      </c>
    </row>
    <row r="449" spans="1:5">
      <c r="A449">
        <v>11</v>
      </c>
      <c r="B449" s="2">
        <v>6975</v>
      </c>
      <c r="C449" t="s">
        <v>11</v>
      </c>
      <c r="D449" s="3">
        <v>46261.839895833335</v>
      </c>
      <c r="E449" s="7">
        <f>CaseDataTable[[#This Row],[Время]]</f>
        <v>46261.839895833335</v>
      </c>
    </row>
    <row r="450" spans="1:5">
      <c r="A450">
        <v>122</v>
      </c>
      <c r="B450" s="2">
        <v>7475</v>
      </c>
      <c r="C450" t="s">
        <v>4</v>
      </c>
      <c r="D450" s="3">
        <v>46261.872037037036</v>
      </c>
      <c r="E450" s="7">
        <f>CaseDataTable[[#This Row],[Время]]</f>
        <v>46261.872037037036</v>
      </c>
    </row>
    <row r="451" spans="1:5">
      <c r="A451">
        <v>122</v>
      </c>
      <c r="B451" s="2">
        <v>7475</v>
      </c>
      <c r="C451" t="s">
        <v>11</v>
      </c>
      <c r="D451" s="3">
        <v>46261.872037037036</v>
      </c>
      <c r="E451" s="7">
        <f>CaseDataTable[[#This Row],[Время]]</f>
        <v>46261.872037037036</v>
      </c>
    </row>
    <row r="452" spans="1:5">
      <c r="A452">
        <v>177</v>
      </c>
      <c r="B452" s="2">
        <v>8950</v>
      </c>
      <c r="C452" t="s">
        <v>5</v>
      </c>
      <c r="D452" s="3">
        <v>46262.449953703705</v>
      </c>
      <c r="E452" s="7">
        <f>CaseDataTable[[#This Row],[Время]]</f>
        <v>46262.449953703705</v>
      </c>
    </row>
    <row r="453" spans="1:5">
      <c r="A453">
        <v>219</v>
      </c>
      <c r="B453" s="2">
        <v>9950</v>
      </c>
      <c r="C453" t="s">
        <v>7</v>
      </c>
      <c r="D453" s="3">
        <v>46262.558252314811</v>
      </c>
      <c r="E453" s="7">
        <f>CaseDataTable[[#This Row],[Время]]</f>
        <v>46262.558252314811</v>
      </c>
    </row>
    <row r="454" spans="1:5">
      <c r="A454">
        <v>322</v>
      </c>
      <c r="B454" s="2">
        <v>7475</v>
      </c>
      <c r="C454" t="s">
        <v>4</v>
      </c>
      <c r="D454" s="3">
        <v>46262.585960648146</v>
      </c>
      <c r="E454" s="7">
        <f>CaseDataTable[[#This Row],[Время]]</f>
        <v>46262.585960648146</v>
      </c>
    </row>
    <row r="455" spans="1:5">
      <c r="A455">
        <v>322</v>
      </c>
      <c r="B455" s="2">
        <v>7475</v>
      </c>
      <c r="C455" t="s">
        <v>15</v>
      </c>
      <c r="D455" s="3">
        <v>46262.585960648146</v>
      </c>
      <c r="E455" s="7">
        <f>CaseDataTable[[#This Row],[Время]]</f>
        <v>46262.585960648146</v>
      </c>
    </row>
    <row r="456" spans="1:5">
      <c r="A456">
        <v>289</v>
      </c>
      <c r="B456" s="2">
        <v>8950</v>
      </c>
      <c r="C456" t="s">
        <v>20</v>
      </c>
      <c r="D456" s="3">
        <v>46262.683923611112</v>
      </c>
      <c r="E456" s="7">
        <f>CaseDataTable[[#This Row],[Время]]</f>
        <v>46262.683923611112</v>
      </c>
    </row>
    <row r="457" spans="1:5">
      <c r="A457">
        <v>29</v>
      </c>
      <c r="B457" s="2">
        <v>8450</v>
      </c>
      <c r="C457" t="s">
        <v>10</v>
      </c>
      <c r="D457" s="3">
        <v>46262.764537037037</v>
      </c>
      <c r="E457" s="7">
        <f>CaseDataTable[[#This Row],[Время]]</f>
        <v>46262.764537037037</v>
      </c>
    </row>
    <row r="458" spans="1:5">
      <c r="A458">
        <v>314</v>
      </c>
      <c r="B458" s="2">
        <v>8950</v>
      </c>
      <c r="C458" t="s">
        <v>5</v>
      </c>
      <c r="D458" s="3">
        <v>46262.780972222223</v>
      </c>
      <c r="E458" s="7">
        <f>CaseDataTable[[#This Row],[Время]]</f>
        <v>46262.780972222223</v>
      </c>
    </row>
    <row r="459" spans="1:5">
      <c r="A459">
        <v>236</v>
      </c>
      <c r="B459" s="2">
        <v>7475</v>
      </c>
      <c r="C459" t="s">
        <v>4</v>
      </c>
      <c r="D459" s="3">
        <v>46263.227418981478</v>
      </c>
      <c r="E459" s="7">
        <f>CaseDataTable[[#This Row],[Время]]</f>
        <v>46263.227418981478</v>
      </c>
    </row>
    <row r="460" spans="1:5">
      <c r="A460">
        <v>340</v>
      </c>
      <c r="B460" s="2">
        <v>5975</v>
      </c>
      <c r="C460" t="s">
        <v>13</v>
      </c>
      <c r="D460" s="3">
        <v>46263.395740740743</v>
      </c>
      <c r="E460" s="7">
        <f>CaseDataTable[[#This Row],[Время]]</f>
        <v>46263.395740740743</v>
      </c>
    </row>
    <row r="461" spans="1:5">
      <c r="A461">
        <v>340</v>
      </c>
      <c r="B461" s="2">
        <v>5975</v>
      </c>
      <c r="C461" t="s">
        <v>5</v>
      </c>
      <c r="D461" s="3">
        <v>46263.395740740743</v>
      </c>
      <c r="E461" s="7">
        <f>CaseDataTable[[#This Row],[Время]]</f>
        <v>46263.395740740743</v>
      </c>
    </row>
    <row r="462" spans="1:5">
      <c r="A462">
        <v>393</v>
      </c>
      <c r="B462" s="2">
        <v>9450</v>
      </c>
      <c r="C462" t="s">
        <v>7</v>
      </c>
      <c r="D462" s="3">
        <v>46263.406458333331</v>
      </c>
      <c r="E462" s="7">
        <f>CaseDataTable[[#This Row],[Время]]</f>
        <v>46263.406458333331</v>
      </c>
    </row>
    <row r="463" spans="1:5">
      <c r="A463">
        <v>144</v>
      </c>
      <c r="B463" s="2">
        <v>4475</v>
      </c>
      <c r="C463" t="s">
        <v>17</v>
      </c>
      <c r="D463" s="3">
        <v>46263.493842592594</v>
      </c>
      <c r="E463" s="7">
        <f>CaseDataTable[[#This Row],[Время]]</f>
        <v>46263.493842592594</v>
      </c>
    </row>
    <row r="464" spans="1:5">
      <c r="A464">
        <v>144</v>
      </c>
      <c r="B464" s="2">
        <v>4475</v>
      </c>
      <c r="C464" t="s">
        <v>5</v>
      </c>
      <c r="D464" s="3">
        <v>46263.493842592594</v>
      </c>
      <c r="E464" s="7">
        <f>CaseDataTable[[#This Row],[Время]]</f>
        <v>46263.493842592594</v>
      </c>
    </row>
    <row r="465" spans="1:5">
      <c r="A465">
        <v>242</v>
      </c>
      <c r="B465" s="2">
        <v>8950</v>
      </c>
      <c r="C465" t="s">
        <v>4</v>
      </c>
      <c r="D465" s="3">
        <v>46263.572824074072</v>
      </c>
      <c r="E465" s="7">
        <f>CaseDataTable[[#This Row],[Время]]</f>
        <v>46263.572824074072</v>
      </c>
    </row>
    <row r="466" spans="1:5">
      <c r="A466">
        <v>27</v>
      </c>
      <c r="B466" s="2">
        <v>8950</v>
      </c>
      <c r="C466" t="s">
        <v>4</v>
      </c>
      <c r="D466" s="3">
        <v>46263.616423611114</v>
      </c>
      <c r="E466" s="7">
        <f>CaseDataTable[[#This Row],[Время]]</f>
        <v>46263.616423611114</v>
      </c>
    </row>
    <row r="467" spans="1:5">
      <c r="A467">
        <v>99</v>
      </c>
      <c r="B467" s="2">
        <v>8450</v>
      </c>
      <c r="C467" t="s">
        <v>20</v>
      </c>
      <c r="D467" s="3">
        <v>46263.816388888888</v>
      </c>
      <c r="E467" s="7">
        <f>CaseDataTable[[#This Row],[Время]]</f>
        <v>46263.816388888888</v>
      </c>
    </row>
    <row r="468" spans="1:5">
      <c r="A468">
        <v>483</v>
      </c>
      <c r="B468" s="2">
        <v>8450</v>
      </c>
      <c r="C468" t="s">
        <v>20</v>
      </c>
      <c r="D468" s="3">
        <v>46263.818657407406</v>
      </c>
      <c r="E468" s="7">
        <f>CaseDataTable[[#This Row],[Время]]</f>
        <v>46263.818657407406</v>
      </c>
    </row>
    <row r="469" spans="1:5">
      <c r="A469">
        <v>432</v>
      </c>
      <c r="B469" s="2">
        <v>8950</v>
      </c>
      <c r="C469" t="s">
        <v>12</v>
      </c>
      <c r="D469" s="3">
        <v>46263.819421296299</v>
      </c>
      <c r="E469" s="7">
        <f>CaseDataTable[[#This Row],[Время]]</f>
        <v>46263.819421296299</v>
      </c>
    </row>
    <row r="470" spans="1:5">
      <c r="A470">
        <v>585</v>
      </c>
      <c r="B470" s="2">
        <v>6975</v>
      </c>
      <c r="C470" t="s">
        <v>20</v>
      </c>
      <c r="D470" s="3">
        <v>46263.819895833331</v>
      </c>
      <c r="E470" s="7">
        <f>CaseDataTable[[#This Row],[Время]]</f>
        <v>46263.819895833331</v>
      </c>
    </row>
    <row r="471" spans="1:5">
      <c r="A471">
        <v>585</v>
      </c>
      <c r="B471" s="2">
        <v>6975</v>
      </c>
      <c r="C471" t="s">
        <v>4</v>
      </c>
      <c r="D471" s="3">
        <v>46263.819895833331</v>
      </c>
      <c r="E471" s="7">
        <f>CaseDataTable[[#This Row],[Время]]</f>
        <v>46263.819895833331</v>
      </c>
    </row>
    <row r="472" spans="1:5">
      <c r="A472">
        <v>285</v>
      </c>
      <c r="B472" s="2">
        <v>6975</v>
      </c>
      <c r="C472" t="s">
        <v>20</v>
      </c>
      <c r="D472" s="3">
        <v>46264.349178240744</v>
      </c>
      <c r="E472" s="7">
        <f>CaseDataTable[[#This Row],[Время]]</f>
        <v>46264.349178240744</v>
      </c>
    </row>
    <row r="473" spans="1:5">
      <c r="A473">
        <v>285</v>
      </c>
      <c r="B473" s="2">
        <v>6975</v>
      </c>
      <c r="C473" t="s">
        <v>4</v>
      </c>
      <c r="D473" s="3">
        <v>46264.349178240744</v>
      </c>
      <c r="E473" s="7">
        <f>CaseDataTable[[#This Row],[Время]]</f>
        <v>46264.349178240744</v>
      </c>
    </row>
    <row r="474" spans="1:5">
      <c r="A474">
        <v>535</v>
      </c>
      <c r="B474" s="2">
        <v>7475</v>
      </c>
      <c r="C474" t="s">
        <v>10</v>
      </c>
      <c r="D474" s="3">
        <v>46264.350347222222</v>
      </c>
      <c r="E474" s="7">
        <f>CaseDataTable[[#This Row],[Время]]</f>
        <v>46264.350347222222</v>
      </c>
    </row>
    <row r="475" spans="1:5">
      <c r="A475">
        <v>535</v>
      </c>
      <c r="B475" s="2">
        <v>7475</v>
      </c>
      <c r="C475" t="s">
        <v>15</v>
      </c>
      <c r="D475" s="3">
        <v>46264.350347222222</v>
      </c>
      <c r="E475" s="7">
        <f>CaseDataTable[[#This Row],[Время]]</f>
        <v>46264.350347222222</v>
      </c>
    </row>
    <row r="476" spans="1:5">
      <c r="A476">
        <v>573</v>
      </c>
      <c r="B476" s="2">
        <v>8950</v>
      </c>
      <c r="C476" t="s">
        <v>20</v>
      </c>
      <c r="D476" s="3">
        <v>46264.402569444443</v>
      </c>
      <c r="E476" s="7">
        <f>CaseDataTable[[#This Row],[Время]]</f>
        <v>46264.402569444443</v>
      </c>
    </row>
    <row r="477" spans="1:5">
      <c r="A477">
        <v>531</v>
      </c>
      <c r="B477" s="2">
        <v>8950</v>
      </c>
      <c r="C477" t="s">
        <v>10</v>
      </c>
      <c r="D477" s="3">
        <v>46264.419641203705</v>
      </c>
      <c r="E477" s="7">
        <f>CaseDataTable[[#This Row],[Время]]</f>
        <v>46264.419641203705</v>
      </c>
    </row>
    <row r="478" spans="1:5">
      <c r="A478">
        <v>432</v>
      </c>
      <c r="B478" s="2">
        <v>8545</v>
      </c>
      <c r="C478" t="s">
        <v>20</v>
      </c>
      <c r="D478" s="3">
        <v>46264.438333333332</v>
      </c>
      <c r="E478" s="7">
        <f>CaseDataTable[[#This Row],[Время]]</f>
        <v>46264.438333333332</v>
      </c>
    </row>
    <row r="479" spans="1:5">
      <c r="A479">
        <v>411</v>
      </c>
      <c r="B479" s="2">
        <v>8545</v>
      </c>
      <c r="C479" t="s">
        <v>20</v>
      </c>
      <c r="D479" s="3">
        <v>46264.473298611112</v>
      </c>
      <c r="E479" s="7">
        <f>CaseDataTable[[#This Row],[Время]]</f>
        <v>46264.473298611112</v>
      </c>
    </row>
    <row r="480" spans="1:5">
      <c r="A480">
        <v>284</v>
      </c>
      <c r="B480" s="2">
        <v>6975</v>
      </c>
      <c r="C480" t="s">
        <v>4</v>
      </c>
      <c r="D480" s="3">
        <v>46264.497789351852</v>
      </c>
      <c r="E480" s="7">
        <f>CaseDataTable[[#This Row],[Время]]</f>
        <v>46264.497789351852</v>
      </c>
    </row>
    <row r="481" spans="1:5">
      <c r="A481">
        <v>534</v>
      </c>
      <c r="B481" s="2">
        <v>8450</v>
      </c>
      <c r="C481" t="s">
        <v>20</v>
      </c>
      <c r="D481" s="3">
        <v>46264.538240740738</v>
      </c>
      <c r="E481" s="7">
        <f>CaseDataTable[[#This Row],[Время]]</f>
        <v>46264.538240740738</v>
      </c>
    </row>
    <row r="482" spans="1:5">
      <c r="A482">
        <v>145</v>
      </c>
      <c r="B482" s="2">
        <v>8950</v>
      </c>
      <c r="C482" t="s">
        <v>17</v>
      </c>
      <c r="D482" s="3">
        <v>46264.545891203707</v>
      </c>
      <c r="E482" s="7">
        <f>CaseDataTable[[#This Row],[Время]]</f>
        <v>46264.545891203707</v>
      </c>
    </row>
    <row r="483" spans="1:5">
      <c r="A483">
        <v>81</v>
      </c>
      <c r="B483" s="2">
        <v>8450</v>
      </c>
      <c r="C483" t="s">
        <v>20</v>
      </c>
      <c r="D483" s="3">
        <v>46264.572523148148</v>
      </c>
      <c r="E483" s="7">
        <f>CaseDataTable[[#This Row],[Время]]</f>
        <v>46264.572523148148</v>
      </c>
    </row>
    <row r="484" spans="1:5">
      <c r="A484">
        <v>76</v>
      </c>
      <c r="B484" s="2">
        <v>6975</v>
      </c>
      <c r="C484" t="s">
        <v>19</v>
      </c>
      <c r="D484" s="3">
        <v>46264.617175925923</v>
      </c>
      <c r="E484" s="7">
        <f>CaseDataTable[[#This Row],[Время]]</f>
        <v>46264.617175925923</v>
      </c>
    </row>
    <row r="485" spans="1:5">
      <c r="A485">
        <v>76</v>
      </c>
      <c r="B485" s="2">
        <v>6975</v>
      </c>
      <c r="C485" t="s">
        <v>17</v>
      </c>
      <c r="D485" s="3">
        <v>46264.617175925923</v>
      </c>
      <c r="E485" s="7">
        <f>CaseDataTable[[#This Row],[Время]]</f>
        <v>46264.617175925923</v>
      </c>
    </row>
    <row r="486" spans="1:5">
      <c r="A486">
        <v>565</v>
      </c>
      <c r="B486" s="2">
        <v>6975</v>
      </c>
      <c r="C486" t="s">
        <v>19</v>
      </c>
      <c r="D486" s="3">
        <v>46264.646111111113</v>
      </c>
      <c r="E486" s="7">
        <f>CaseDataTable[[#This Row],[Время]]</f>
        <v>46264.646111111113</v>
      </c>
    </row>
    <row r="487" spans="1:5">
      <c r="A487">
        <v>565</v>
      </c>
      <c r="B487" s="2">
        <v>6975</v>
      </c>
      <c r="C487" t="s">
        <v>15</v>
      </c>
      <c r="D487" s="3">
        <v>46264.646111111113</v>
      </c>
      <c r="E487" s="7">
        <f>CaseDataTable[[#This Row],[Время]]</f>
        <v>46264.646111111113</v>
      </c>
    </row>
    <row r="488" spans="1:5">
      <c r="A488">
        <v>437</v>
      </c>
      <c r="B488" s="2">
        <v>1000</v>
      </c>
      <c r="C488" t="s">
        <v>20</v>
      </c>
      <c r="D488" s="3">
        <v>46264.678263888891</v>
      </c>
      <c r="E488" s="7">
        <f>CaseDataTable[[#This Row],[Время]]</f>
        <v>46264.678263888891</v>
      </c>
    </row>
    <row r="489" spans="1:5">
      <c r="A489">
        <v>253</v>
      </c>
      <c r="B489" s="2">
        <v>8950</v>
      </c>
      <c r="C489" t="s">
        <v>20</v>
      </c>
      <c r="D489" s="3">
        <v>46264.711678240739</v>
      </c>
      <c r="E489" s="7">
        <f>CaseDataTable[[#This Row],[Время]]</f>
        <v>46264.711678240739</v>
      </c>
    </row>
    <row r="490" spans="1:5">
      <c r="A490">
        <v>241</v>
      </c>
      <c r="B490" s="2">
        <v>8950</v>
      </c>
      <c r="C490" t="s">
        <v>10</v>
      </c>
      <c r="D490" s="3">
        <v>46264.713877314818</v>
      </c>
      <c r="E490" s="7">
        <f>CaseDataTable[[#This Row],[Время]]</f>
        <v>46264.713877314818</v>
      </c>
    </row>
    <row r="491" spans="1:5">
      <c r="A491">
        <v>25</v>
      </c>
      <c r="B491" s="2">
        <v>8450</v>
      </c>
      <c r="C491" t="s">
        <v>4</v>
      </c>
      <c r="D491" s="3">
        <v>46264.773784722223</v>
      </c>
      <c r="E491" s="7">
        <f>CaseDataTable[[#This Row],[Время]]</f>
        <v>46264.773784722223</v>
      </c>
    </row>
    <row r="492" spans="1:5">
      <c r="A492">
        <v>566</v>
      </c>
      <c r="B492" s="2">
        <v>8450</v>
      </c>
      <c r="C492" t="s">
        <v>4</v>
      </c>
      <c r="D492" s="3">
        <v>46264.781736111108</v>
      </c>
      <c r="E492" s="7">
        <f>CaseDataTable[[#This Row],[Время]]</f>
        <v>46264.781736111108</v>
      </c>
    </row>
    <row r="493" spans="1:5">
      <c r="A493">
        <v>274</v>
      </c>
      <c r="B493" s="2">
        <v>6975</v>
      </c>
      <c r="C493" t="s">
        <v>17</v>
      </c>
      <c r="D493" s="3">
        <v>46264.984375</v>
      </c>
      <c r="E493" s="7">
        <f>CaseDataTable[[#This Row],[Время]]</f>
        <v>46264.984375</v>
      </c>
    </row>
    <row r="494" spans="1:5">
      <c r="A494">
        <v>14</v>
      </c>
      <c r="B494" s="2">
        <v>8950</v>
      </c>
      <c r="C494" t="s">
        <v>20</v>
      </c>
      <c r="D494" s="3">
        <v>46264.994687500002</v>
      </c>
      <c r="E494" s="7">
        <f>CaseDataTable[[#This Row],[Время]]</f>
        <v>46264.994687500002</v>
      </c>
    </row>
    <row r="495" spans="1:5">
      <c r="A495">
        <v>90</v>
      </c>
      <c r="B495" s="2">
        <v>6975</v>
      </c>
      <c r="C495" t="s">
        <v>15</v>
      </c>
      <c r="D495" s="3">
        <v>46265.045347222222</v>
      </c>
      <c r="E495" s="7">
        <f>CaseDataTable[[#This Row],[Время]]</f>
        <v>46265.045347222222</v>
      </c>
    </row>
    <row r="496" spans="1:5">
      <c r="A496">
        <v>538</v>
      </c>
      <c r="B496" s="2">
        <v>7475</v>
      </c>
      <c r="C496" t="s">
        <v>10</v>
      </c>
      <c r="D496" s="3">
        <v>46265.260324074072</v>
      </c>
      <c r="E496" s="7">
        <f>CaseDataTable[[#This Row],[Время]]</f>
        <v>46265.260324074072</v>
      </c>
    </row>
    <row r="497" spans="1:5">
      <c r="A497">
        <v>538</v>
      </c>
      <c r="B497" s="2">
        <v>7475</v>
      </c>
      <c r="C497" t="s">
        <v>15</v>
      </c>
      <c r="D497" s="3">
        <v>46265.260324074072</v>
      </c>
      <c r="E497" s="7">
        <f>CaseDataTable[[#This Row],[Время]]</f>
        <v>46265.260324074072</v>
      </c>
    </row>
    <row r="498" spans="1:5">
      <c r="A498">
        <v>157</v>
      </c>
      <c r="B498" s="2">
        <v>7475</v>
      </c>
      <c r="C498" t="s">
        <v>20</v>
      </c>
      <c r="D498" s="3">
        <v>46265.277696759258</v>
      </c>
      <c r="E498" s="7">
        <f>CaseDataTable[[#This Row],[Время]]</f>
        <v>46265.277696759258</v>
      </c>
    </row>
    <row r="499" spans="1:5">
      <c r="A499">
        <v>157</v>
      </c>
      <c r="B499" s="2">
        <v>7475</v>
      </c>
      <c r="C499" t="s">
        <v>4</v>
      </c>
      <c r="D499" s="3">
        <v>46265.277696759258</v>
      </c>
      <c r="E499" s="7">
        <f>CaseDataTable[[#This Row],[Время]]</f>
        <v>46265.277696759258</v>
      </c>
    </row>
    <row r="500" spans="1:5">
      <c r="A500">
        <v>134</v>
      </c>
      <c r="B500" s="2">
        <v>6975</v>
      </c>
      <c r="C500" t="s">
        <v>19</v>
      </c>
      <c r="D500" s="3">
        <v>46265.338043981479</v>
      </c>
      <c r="E500" s="7">
        <f>CaseDataTable[[#This Row],[Время]]</f>
        <v>46265.338043981479</v>
      </c>
    </row>
    <row r="501" spans="1:5">
      <c r="A501">
        <v>267</v>
      </c>
      <c r="B501" s="2">
        <v>8950</v>
      </c>
      <c r="C501" t="s">
        <v>17</v>
      </c>
      <c r="D501" s="3">
        <v>46265.351585648146</v>
      </c>
      <c r="E501" s="7">
        <f>CaseDataTable[[#This Row],[Время]]</f>
        <v>46265.351585648146</v>
      </c>
    </row>
    <row r="502" spans="1:5">
      <c r="A502">
        <v>387</v>
      </c>
      <c r="B502" s="2">
        <v>8545</v>
      </c>
      <c r="C502" t="s">
        <v>20</v>
      </c>
      <c r="D502" s="3">
        <v>46265.381724537037</v>
      </c>
      <c r="E502" s="7">
        <f>CaseDataTable[[#This Row],[Время]]</f>
        <v>46265.381724537037</v>
      </c>
    </row>
    <row r="503" spans="1:5">
      <c r="A503">
        <v>403</v>
      </c>
      <c r="B503" s="2">
        <v>8950</v>
      </c>
      <c r="C503" t="s">
        <v>12</v>
      </c>
      <c r="D503" s="3">
        <v>46265.429675925923</v>
      </c>
      <c r="E503" s="7">
        <f>CaseDataTable[[#This Row],[Время]]</f>
        <v>46265.429675925923</v>
      </c>
    </row>
    <row r="504" spans="1:5">
      <c r="A504">
        <v>497</v>
      </c>
      <c r="B504" s="2">
        <v>8950</v>
      </c>
      <c r="C504" t="s">
        <v>12</v>
      </c>
      <c r="D504" s="3">
        <v>46265.507800925923</v>
      </c>
      <c r="E504" s="7">
        <f>CaseDataTable[[#This Row],[Время]]</f>
        <v>46265.507800925923</v>
      </c>
    </row>
    <row r="505" spans="1:5">
      <c r="A505">
        <v>26</v>
      </c>
      <c r="B505" s="2">
        <v>8975</v>
      </c>
      <c r="C505" t="s">
        <v>12</v>
      </c>
      <c r="D505" s="3">
        <v>46265.585925925923</v>
      </c>
      <c r="E505" s="7">
        <f>CaseDataTable[[#This Row],[Время]]</f>
        <v>46265.585925925923</v>
      </c>
    </row>
    <row r="506" spans="1:5">
      <c r="A506">
        <v>26</v>
      </c>
      <c r="B506" s="2">
        <v>8975</v>
      </c>
      <c r="C506" t="s">
        <v>21</v>
      </c>
      <c r="D506" s="3">
        <v>46265.585925925923</v>
      </c>
      <c r="E506" s="7">
        <f>CaseDataTable[[#This Row],[Время]]</f>
        <v>46265.585925925923</v>
      </c>
    </row>
    <row r="507" spans="1:5">
      <c r="A507">
        <v>503</v>
      </c>
      <c r="B507" s="2">
        <v>7471.5</v>
      </c>
      <c r="C507" t="s">
        <v>17</v>
      </c>
      <c r="D507" s="3">
        <v>46265.611481481479</v>
      </c>
      <c r="E507" s="7">
        <f>CaseDataTable[[#This Row],[Время]]</f>
        <v>46265.611481481479</v>
      </c>
    </row>
    <row r="508" spans="1:5">
      <c r="A508">
        <v>503</v>
      </c>
      <c r="B508" s="2">
        <v>7471.5</v>
      </c>
      <c r="C508" t="s">
        <v>5</v>
      </c>
      <c r="D508" s="3">
        <v>46265.611481481479</v>
      </c>
      <c r="E508" s="7">
        <f>CaseDataTable[[#This Row],[Время]]</f>
        <v>46265.611481481479</v>
      </c>
    </row>
    <row r="509" spans="1:5">
      <c r="A509">
        <v>4</v>
      </c>
      <c r="B509" s="2">
        <v>8950</v>
      </c>
      <c r="C509" t="s">
        <v>20</v>
      </c>
      <c r="D509" s="3">
        <v>46265.654560185183</v>
      </c>
      <c r="E509" s="7">
        <f>CaseDataTable[[#This Row],[Время]]</f>
        <v>46265.654560185183</v>
      </c>
    </row>
    <row r="510" spans="1:5">
      <c r="A510">
        <v>599</v>
      </c>
      <c r="B510" s="2">
        <v>8950</v>
      </c>
      <c r="C510" t="s">
        <v>17</v>
      </c>
      <c r="D510" s="3">
        <v>46265.670439814814</v>
      </c>
      <c r="E510" s="7">
        <f>CaseDataTable[[#This Row],[Время]]</f>
        <v>46265.670439814814</v>
      </c>
    </row>
    <row r="511" spans="1:5">
      <c r="A511">
        <v>305</v>
      </c>
      <c r="B511" s="2">
        <v>7475</v>
      </c>
      <c r="C511" t="s">
        <v>19</v>
      </c>
      <c r="D511" s="3">
        <v>46265.710636574076</v>
      </c>
      <c r="E511" s="7">
        <f>CaseDataTable[[#This Row],[Время]]</f>
        <v>46265.710636574076</v>
      </c>
    </row>
    <row r="512" spans="1:5">
      <c r="A512">
        <v>305</v>
      </c>
      <c r="B512" s="2">
        <v>7475</v>
      </c>
      <c r="C512" t="s">
        <v>15</v>
      </c>
      <c r="D512" s="3">
        <v>46265.710636574076</v>
      </c>
      <c r="E512" s="7">
        <f>CaseDataTable[[#This Row],[Время]]</f>
        <v>46265.710636574076</v>
      </c>
    </row>
    <row r="513" spans="1:5">
      <c r="A513">
        <v>239</v>
      </c>
      <c r="B513" s="2">
        <v>8450</v>
      </c>
      <c r="C513" t="s">
        <v>17</v>
      </c>
      <c r="D513" s="3">
        <v>46265.712604166663</v>
      </c>
      <c r="E513" s="7">
        <f>CaseDataTable[[#This Row],[Время]]</f>
        <v>46265.712604166663</v>
      </c>
    </row>
    <row r="514" spans="1:5">
      <c r="A514">
        <v>77</v>
      </c>
      <c r="B514" s="2">
        <v>8450</v>
      </c>
      <c r="C514" t="s">
        <v>17</v>
      </c>
      <c r="D514" s="3">
        <v>46265.746180555558</v>
      </c>
      <c r="E514" s="7">
        <f>CaseDataTable[[#This Row],[Время]]</f>
        <v>46265.746180555558</v>
      </c>
    </row>
    <row r="515" spans="1:5">
      <c r="A515">
        <v>171</v>
      </c>
      <c r="B515" s="2">
        <v>8950</v>
      </c>
      <c r="C515" t="s">
        <v>17</v>
      </c>
      <c r="D515" s="3">
        <v>46265.764270833337</v>
      </c>
      <c r="E515" s="7">
        <f>CaseDataTable[[#This Row],[Время]]</f>
        <v>46265.764270833337</v>
      </c>
    </row>
    <row r="516" spans="1:5">
      <c r="A516">
        <v>272</v>
      </c>
      <c r="B516" s="2">
        <v>8950</v>
      </c>
      <c r="C516" t="s">
        <v>17</v>
      </c>
      <c r="D516" s="3">
        <v>46265.774074074077</v>
      </c>
      <c r="E516" s="7">
        <f>CaseDataTable[[#This Row],[Время]]</f>
        <v>46265.774074074077</v>
      </c>
    </row>
    <row r="517" spans="1:5">
      <c r="A517">
        <v>324</v>
      </c>
      <c r="B517" s="2">
        <v>8450</v>
      </c>
      <c r="C517" t="s">
        <v>20</v>
      </c>
      <c r="D517" s="3">
        <v>46265.807303240741</v>
      </c>
      <c r="E517" s="7">
        <f>CaseDataTable[[#This Row],[Время]]</f>
        <v>46265.807303240741</v>
      </c>
    </row>
    <row r="518" spans="1:5">
      <c r="A518">
        <v>301</v>
      </c>
      <c r="B518" s="2">
        <v>8975</v>
      </c>
      <c r="C518" t="s">
        <v>11</v>
      </c>
      <c r="D518" s="3">
        <v>46265.873090277775</v>
      </c>
      <c r="E518" s="7">
        <f>CaseDataTable[[#This Row],[Время]]</f>
        <v>46265.873090277775</v>
      </c>
    </row>
    <row r="519" spans="1:5">
      <c r="A519">
        <v>301</v>
      </c>
      <c r="B519" s="2">
        <v>8975</v>
      </c>
      <c r="C519" t="s">
        <v>5</v>
      </c>
      <c r="D519" s="3">
        <v>46265.873090277775</v>
      </c>
      <c r="E519" s="7">
        <f>CaseDataTable[[#This Row],[Время]]</f>
        <v>46265.873090277775</v>
      </c>
    </row>
    <row r="520" spans="1:5">
      <c r="A520">
        <v>390</v>
      </c>
      <c r="B520" s="2">
        <v>8975</v>
      </c>
      <c r="C520" t="s">
        <v>5</v>
      </c>
      <c r="D520" s="3">
        <v>46266.099652777775</v>
      </c>
      <c r="E520" s="7">
        <f>CaseDataTable[[#This Row],[Время]]</f>
        <v>46266.099652777775</v>
      </c>
    </row>
    <row r="521" spans="1:5">
      <c r="A521">
        <v>189</v>
      </c>
      <c r="B521" s="2">
        <v>8945</v>
      </c>
      <c r="C521" t="s">
        <v>5</v>
      </c>
      <c r="D521" s="3">
        <v>46266.326226851852</v>
      </c>
      <c r="E521" s="7">
        <f>CaseDataTable[[#This Row],[Время]]</f>
        <v>46266.326226851852</v>
      </c>
    </row>
    <row r="522" spans="1:5">
      <c r="A522">
        <v>495</v>
      </c>
      <c r="B522" s="2">
        <v>7475</v>
      </c>
      <c r="C522" t="s">
        <v>4</v>
      </c>
      <c r="D522" s="3">
        <v>46266.437743055554</v>
      </c>
      <c r="E522" s="7">
        <f>CaseDataTable[[#This Row],[Время]]</f>
        <v>46266.437743055554</v>
      </c>
    </row>
    <row r="523" spans="1:5">
      <c r="A523">
        <v>495</v>
      </c>
      <c r="B523" s="2">
        <v>7475</v>
      </c>
      <c r="C523" t="s">
        <v>11</v>
      </c>
      <c r="D523" s="3">
        <v>46266.437743055554</v>
      </c>
      <c r="E523" s="7">
        <f>CaseDataTable[[#This Row],[Время]]</f>
        <v>46266.437743055554</v>
      </c>
    </row>
    <row r="524" spans="1:5">
      <c r="A524">
        <v>296</v>
      </c>
      <c r="B524" s="2">
        <v>8950</v>
      </c>
      <c r="C524" t="s">
        <v>5</v>
      </c>
      <c r="D524" s="3">
        <v>46266.449108796296</v>
      </c>
      <c r="E524" s="7">
        <f>CaseDataTable[[#This Row],[Время]]</f>
        <v>46266.449108796296</v>
      </c>
    </row>
    <row r="525" spans="1:5">
      <c r="A525">
        <v>195</v>
      </c>
      <c r="B525" s="2">
        <v>8450</v>
      </c>
      <c r="C525" t="s">
        <v>20</v>
      </c>
      <c r="D525" s="3">
        <v>46266.454780092594</v>
      </c>
      <c r="E525" s="7">
        <f>CaseDataTable[[#This Row],[Время]]</f>
        <v>46266.454780092594</v>
      </c>
    </row>
    <row r="526" spans="1:5">
      <c r="A526">
        <v>524</v>
      </c>
      <c r="B526" s="2">
        <v>8945</v>
      </c>
      <c r="C526" t="s">
        <v>17</v>
      </c>
      <c r="D526" s="3">
        <v>46266.495844907404</v>
      </c>
      <c r="E526" s="7">
        <f>CaseDataTable[[#This Row],[Время]]</f>
        <v>46266.495844907404</v>
      </c>
    </row>
    <row r="527" spans="1:5">
      <c r="A527">
        <v>423</v>
      </c>
      <c r="B527" s="2">
        <v>7475</v>
      </c>
      <c r="C527" t="s">
        <v>4</v>
      </c>
      <c r="D527" s="3">
        <v>46266.531226851854</v>
      </c>
      <c r="E527" s="7">
        <f>CaseDataTable[[#This Row],[Время]]</f>
        <v>46266.531226851854</v>
      </c>
    </row>
    <row r="528" spans="1:5">
      <c r="A528">
        <v>115</v>
      </c>
      <c r="B528" s="2">
        <v>8945</v>
      </c>
      <c r="C528" t="s">
        <v>17</v>
      </c>
      <c r="D528" s="3">
        <v>46266.548495370371</v>
      </c>
      <c r="E528" s="7">
        <f>CaseDataTable[[#This Row],[Время]]</f>
        <v>46266.548495370371</v>
      </c>
    </row>
    <row r="529" spans="1:5">
      <c r="A529">
        <v>247</v>
      </c>
      <c r="B529" s="2">
        <v>7475</v>
      </c>
      <c r="C529" t="s">
        <v>4</v>
      </c>
      <c r="D529" s="3">
        <v>46266.624710648146</v>
      </c>
      <c r="E529" s="7">
        <f>CaseDataTable[[#This Row],[Время]]</f>
        <v>46266.624710648146</v>
      </c>
    </row>
    <row r="530" spans="1:5">
      <c r="A530">
        <v>247</v>
      </c>
      <c r="B530" s="2">
        <v>7475</v>
      </c>
      <c r="C530" t="s">
        <v>11</v>
      </c>
      <c r="D530" s="3">
        <v>46266.624710648146</v>
      </c>
      <c r="E530" s="7">
        <f>CaseDataTable[[#This Row],[Время]]</f>
        <v>46266.624710648146</v>
      </c>
    </row>
    <row r="531" spans="1:5">
      <c r="A531">
        <v>144</v>
      </c>
      <c r="B531" s="2">
        <v>8950</v>
      </c>
      <c r="C531" t="s">
        <v>17</v>
      </c>
      <c r="D531" s="3">
        <v>46266.646284722221</v>
      </c>
      <c r="E531" s="7">
        <f>CaseDataTable[[#This Row],[Время]]</f>
        <v>46266.646284722221</v>
      </c>
    </row>
    <row r="532" spans="1:5">
      <c r="A532">
        <v>547</v>
      </c>
      <c r="B532" s="2">
        <v>7475</v>
      </c>
      <c r="C532" t="s">
        <v>12</v>
      </c>
      <c r="D532" s="3">
        <v>46266.662060185183</v>
      </c>
      <c r="E532" s="7">
        <f>CaseDataTable[[#This Row],[Время]]</f>
        <v>46266.662060185183</v>
      </c>
    </row>
    <row r="533" spans="1:5">
      <c r="A533">
        <v>547</v>
      </c>
      <c r="B533" s="2">
        <v>7475</v>
      </c>
      <c r="C533" t="s">
        <v>19</v>
      </c>
      <c r="D533" s="3">
        <v>46266.662060185183</v>
      </c>
      <c r="E533" s="7">
        <f>CaseDataTable[[#This Row],[Время]]</f>
        <v>46266.662060185183</v>
      </c>
    </row>
    <row r="534" spans="1:5">
      <c r="A534">
        <v>226</v>
      </c>
      <c r="B534" s="2">
        <v>7475</v>
      </c>
      <c r="C534" t="s">
        <v>11</v>
      </c>
      <c r="D534" s="3">
        <v>46266.710925925923</v>
      </c>
      <c r="E534" s="7">
        <f>CaseDataTable[[#This Row],[Время]]</f>
        <v>46266.710925925923</v>
      </c>
    </row>
    <row r="535" spans="1:5">
      <c r="A535">
        <v>34</v>
      </c>
      <c r="B535" s="2">
        <v>8945</v>
      </c>
      <c r="C535" t="s">
        <v>17</v>
      </c>
      <c r="D535" s="3">
        <v>46266.724733796298</v>
      </c>
      <c r="E535" s="7">
        <f>CaseDataTable[[#This Row],[Время]]</f>
        <v>46266.724733796298</v>
      </c>
    </row>
    <row r="536" spans="1:5">
      <c r="A536">
        <v>231</v>
      </c>
      <c r="B536" s="2">
        <v>8245</v>
      </c>
      <c r="C536" t="s">
        <v>16</v>
      </c>
      <c r="D536" s="3">
        <v>46266.755567129629</v>
      </c>
      <c r="E536" s="7">
        <f>CaseDataTable[[#This Row],[Время]]</f>
        <v>46266.755567129629</v>
      </c>
    </row>
    <row r="537" spans="1:5">
      <c r="A537">
        <v>231</v>
      </c>
      <c r="B537" s="2">
        <v>8245</v>
      </c>
      <c r="C537" t="s">
        <v>21</v>
      </c>
      <c r="D537" s="3">
        <v>46266.755567129629</v>
      </c>
      <c r="E537" s="7">
        <f>CaseDataTable[[#This Row],[Время]]</f>
        <v>46266.755567129629</v>
      </c>
    </row>
    <row r="538" spans="1:5">
      <c r="A538">
        <v>231</v>
      </c>
      <c r="B538" s="2">
        <v>8245</v>
      </c>
      <c r="C538" t="s">
        <v>6</v>
      </c>
      <c r="D538" s="3">
        <v>46266.755567129629</v>
      </c>
      <c r="E538" s="7">
        <f>CaseDataTable[[#This Row],[Время]]</f>
        <v>46266.755567129629</v>
      </c>
    </row>
    <row r="539" spans="1:5">
      <c r="A539">
        <v>231</v>
      </c>
      <c r="B539" s="2">
        <v>8245</v>
      </c>
      <c r="C539" t="s">
        <v>7</v>
      </c>
      <c r="D539" s="3">
        <v>46266.755567129629</v>
      </c>
      <c r="E539" s="7">
        <f>CaseDataTable[[#This Row],[Время]]</f>
        <v>46266.755567129629</v>
      </c>
    </row>
    <row r="540" spans="1:5">
      <c r="A540">
        <v>231</v>
      </c>
      <c r="B540" s="2">
        <v>8245</v>
      </c>
      <c r="C540" t="s">
        <v>14</v>
      </c>
      <c r="D540" s="3">
        <v>46266.755567129629</v>
      </c>
      <c r="E540" s="7">
        <f>CaseDataTable[[#This Row],[Время]]</f>
        <v>46266.755567129629</v>
      </c>
    </row>
    <row r="541" spans="1:5">
      <c r="A541">
        <v>181</v>
      </c>
      <c r="B541" s="2">
        <v>8950</v>
      </c>
      <c r="C541" t="s">
        <v>17</v>
      </c>
      <c r="D541" s="3">
        <v>46266.7809837963</v>
      </c>
      <c r="E541" s="7">
        <f>CaseDataTable[[#This Row],[Время]]</f>
        <v>46266.7809837963</v>
      </c>
    </row>
    <row r="542" spans="1:5">
      <c r="A542">
        <v>343</v>
      </c>
      <c r="B542" s="2">
        <v>8950</v>
      </c>
      <c r="C542" t="s">
        <v>11</v>
      </c>
      <c r="D542" s="3">
        <v>46266.797152777777</v>
      </c>
      <c r="E542" s="7">
        <f>CaseDataTable[[#This Row],[Время]]</f>
        <v>46266.797152777777</v>
      </c>
    </row>
    <row r="543" spans="1:5">
      <c r="A543">
        <v>114</v>
      </c>
      <c r="B543" s="2">
        <v>6975</v>
      </c>
      <c r="C543" t="s">
        <v>20</v>
      </c>
      <c r="D543" s="3">
        <v>46266.803425925929</v>
      </c>
      <c r="E543" s="7">
        <f>CaseDataTable[[#This Row],[Время]]</f>
        <v>46266.803425925929</v>
      </c>
    </row>
    <row r="544" spans="1:5">
      <c r="A544">
        <v>114</v>
      </c>
      <c r="B544" s="2">
        <v>6975</v>
      </c>
      <c r="C544" t="s">
        <v>4</v>
      </c>
      <c r="D544" s="3">
        <v>46266.803425925929</v>
      </c>
      <c r="E544" s="7">
        <f>CaseDataTable[[#This Row],[Время]]</f>
        <v>46266.803425925929</v>
      </c>
    </row>
    <row r="545" spans="1:5">
      <c r="A545">
        <v>88</v>
      </c>
      <c r="B545" s="2">
        <v>8950</v>
      </c>
      <c r="C545" t="s">
        <v>20</v>
      </c>
      <c r="D545" s="3">
        <v>46266.810601851852</v>
      </c>
      <c r="E545" s="7">
        <f>CaseDataTable[[#This Row],[Время]]</f>
        <v>46266.810601851852</v>
      </c>
    </row>
    <row r="546" spans="1:5">
      <c r="A546">
        <v>139</v>
      </c>
      <c r="B546" s="2">
        <v>6975</v>
      </c>
      <c r="C546" t="s">
        <v>20</v>
      </c>
      <c r="D546" s="3">
        <v>46266.854247685187</v>
      </c>
      <c r="E546" s="7">
        <f>CaseDataTable[[#This Row],[Время]]</f>
        <v>46266.854247685187</v>
      </c>
    </row>
    <row r="547" spans="1:5">
      <c r="A547">
        <v>139</v>
      </c>
      <c r="B547" s="2">
        <v>6975</v>
      </c>
      <c r="C547" t="s">
        <v>11</v>
      </c>
      <c r="D547" s="3">
        <v>46266.854247685187</v>
      </c>
      <c r="E547" s="7">
        <f>CaseDataTable[[#This Row],[Время]]</f>
        <v>46266.854247685187</v>
      </c>
    </row>
    <row r="548" spans="1:5">
      <c r="A548">
        <v>37</v>
      </c>
      <c r="B548" s="2">
        <v>5750</v>
      </c>
      <c r="C548" t="s">
        <v>12</v>
      </c>
      <c r="D548" s="3">
        <v>46267.175856481481</v>
      </c>
      <c r="E548" s="7">
        <f>CaseDataTable[[#This Row],[Время]]</f>
        <v>46267.175856481481</v>
      </c>
    </row>
    <row r="549" spans="1:5">
      <c r="A549">
        <v>558</v>
      </c>
      <c r="B549" s="2">
        <v>8245</v>
      </c>
      <c r="C549" t="s">
        <v>6</v>
      </c>
      <c r="D549" s="3">
        <v>46267.368032407408</v>
      </c>
      <c r="E549" s="7">
        <f>CaseDataTable[[#This Row],[Время]]</f>
        <v>46267.368032407408</v>
      </c>
    </row>
    <row r="550" spans="1:5">
      <c r="A550">
        <v>288</v>
      </c>
      <c r="B550" s="2">
        <v>8945</v>
      </c>
      <c r="C550" t="s">
        <v>17</v>
      </c>
      <c r="D550" s="3">
        <v>46267.373055555552</v>
      </c>
      <c r="E550" s="7">
        <f>CaseDataTable[[#This Row],[Время]]</f>
        <v>46267.373055555552</v>
      </c>
    </row>
    <row r="551" spans="1:5">
      <c r="A551">
        <v>486</v>
      </c>
      <c r="B551" s="2">
        <v>8950</v>
      </c>
      <c r="C551" t="s">
        <v>12</v>
      </c>
      <c r="D551" s="3">
        <v>46267.395046296297</v>
      </c>
      <c r="E551" s="7">
        <f>CaseDataTable[[#This Row],[Время]]</f>
        <v>46267.395046296297</v>
      </c>
    </row>
    <row r="552" spans="1:5">
      <c r="A552">
        <v>555</v>
      </c>
      <c r="B552" s="2">
        <v>7475</v>
      </c>
      <c r="C552" t="s">
        <v>19</v>
      </c>
      <c r="D552" s="3">
        <v>46267.401921296296</v>
      </c>
      <c r="E552" s="7">
        <f>CaseDataTable[[#This Row],[Время]]</f>
        <v>46267.401921296296</v>
      </c>
    </row>
    <row r="553" spans="1:5">
      <c r="A553">
        <v>555</v>
      </c>
      <c r="B553" s="2">
        <v>7475</v>
      </c>
      <c r="C553" t="s">
        <v>15</v>
      </c>
      <c r="D553" s="3">
        <v>46267.401921296296</v>
      </c>
      <c r="E553" s="7">
        <f>CaseDataTable[[#This Row],[Время]]</f>
        <v>46267.401921296296</v>
      </c>
    </row>
    <row r="554" spans="1:5">
      <c r="A554">
        <v>551</v>
      </c>
      <c r="B554" s="2">
        <v>8950</v>
      </c>
      <c r="C554" t="s">
        <v>12</v>
      </c>
      <c r="D554" s="3">
        <v>46267.415497685186</v>
      </c>
      <c r="E554" s="7">
        <f>CaseDataTable[[#This Row],[Время]]</f>
        <v>46267.415497685186</v>
      </c>
    </row>
    <row r="555" spans="1:5">
      <c r="A555">
        <v>419</v>
      </c>
      <c r="B555" s="2">
        <v>7475</v>
      </c>
      <c r="C555" t="s">
        <v>4</v>
      </c>
      <c r="D555" s="3">
        <v>46267.421435185184</v>
      </c>
      <c r="E555" s="7">
        <f>CaseDataTable[[#This Row],[Время]]</f>
        <v>46267.421435185184</v>
      </c>
    </row>
    <row r="556" spans="1:5">
      <c r="A556">
        <v>419</v>
      </c>
      <c r="B556" s="2">
        <v>7475</v>
      </c>
      <c r="C556" t="s">
        <v>19</v>
      </c>
      <c r="D556" s="3">
        <v>46267.421435185184</v>
      </c>
      <c r="E556" s="7">
        <f>CaseDataTable[[#This Row],[Время]]</f>
        <v>46267.421435185184</v>
      </c>
    </row>
    <row r="557" spans="1:5">
      <c r="A557">
        <v>182</v>
      </c>
      <c r="B557" s="2">
        <v>8950</v>
      </c>
      <c r="C557" t="s">
        <v>12</v>
      </c>
      <c r="D557" s="3">
        <v>46267.426516203705</v>
      </c>
      <c r="E557" s="7">
        <f>CaseDataTable[[#This Row],[Время]]</f>
        <v>46267.426516203705</v>
      </c>
    </row>
    <row r="558" spans="1:5">
      <c r="A558">
        <v>244</v>
      </c>
      <c r="B558" s="2">
        <v>8950</v>
      </c>
      <c r="C558" t="s">
        <v>15</v>
      </c>
      <c r="D558" s="3">
        <v>46267.433796296296</v>
      </c>
      <c r="E558" s="7">
        <f>CaseDataTable[[#This Row],[Время]]</f>
        <v>46267.433796296296</v>
      </c>
    </row>
    <row r="559" spans="1:5">
      <c r="A559">
        <v>50</v>
      </c>
      <c r="B559" s="2">
        <v>8950</v>
      </c>
      <c r="C559" t="s">
        <v>15</v>
      </c>
      <c r="D559" s="3">
        <v>46267.439525462964</v>
      </c>
      <c r="E559" s="7">
        <f>CaseDataTable[[#This Row],[Время]]</f>
        <v>46267.439525462964</v>
      </c>
    </row>
    <row r="560" spans="1:5">
      <c r="A560">
        <v>541</v>
      </c>
      <c r="B560" s="2">
        <v>7475</v>
      </c>
      <c r="C560" t="s">
        <v>15</v>
      </c>
      <c r="D560" s="3">
        <v>46267.450196759259</v>
      </c>
      <c r="E560" s="7">
        <f>CaseDataTable[[#This Row],[Время]]</f>
        <v>46267.450196759259</v>
      </c>
    </row>
    <row r="561" spans="1:5">
      <c r="A561">
        <v>541</v>
      </c>
      <c r="B561" s="2">
        <v>7475</v>
      </c>
      <c r="C561" t="s">
        <v>5</v>
      </c>
      <c r="D561" s="3">
        <v>46267.450196759259</v>
      </c>
      <c r="E561" s="7">
        <f>CaseDataTable[[#This Row],[Время]]</f>
        <v>46267.450196759259</v>
      </c>
    </row>
    <row r="562" spans="1:5">
      <c r="A562">
        <v>523</v>
      </c>
      <c r="B562" s="2">
        <v>8450</v>
      </c>
      <c r="C562" t="s">
        <v>12</v>
      </c>
      <c r="D562" s="3">
        <v>46267.45888888889</v>
      </c>
      <c r="E562" s="7">
        <f>CaseDataTable[[#This Row],[Время]]</f>
        <v>46267.45888888889</v>
      </c>
    </row>
    <row r="563" spans="1:5">
      <c r="A563">
        <v>266</v>
      </c>
      <c r="B563" s="2">
        <v>10000</v>
      </c>
      <c r="C563" t="s">
        <v>7</v>
      </c>
      <c r="D563" s="3">
        <v>46267.481504629628</v>
      </c>
      <c r="E563" s="7">
        <f>CaseDataTable[[#This Row],[Время]]</f>
        <v>46267.481504629628</v>
      </c>
    </row>
    <row r="564" spans="1:5">
      <c r="A564">
        <v>128</v>
      </c>
      <c r="B564" s="2">
        <v>8945</v>
      </c>
      <c r="C564" t="s">
        <v>17</v>
      </c>
      <c r="D564" s="3">
        <v>46267.497071759259</v>
      </c>
      <c r="E564" s="7">
        <f>CaseDataTable[[#This Row],[Время]]</f>
        <v>46267.497071759259</v>
      </c>
    </row>
    <row r="565" spans="1:5">
      <c r="A565">
        <v>385</v>
      </c>
      <c r="B565" s="2">
        <v>5975</v>
      </c>
      <c r="C565" t="s">
        <v>13</v>
      </c>
      <c r="D565" s="3">
        <v>46267.595532407409</v>
      </c>
      <c r="E565" s="7">
        <f>CaseDataTable[[#This Row],[Время]]</f>
        <v>46267.595532407409</v>
      </c>
    </row>
    <row r="566" spans="1:5">
      <c r="A566">
        <v>385</v>
      </c>
      <c r="B566" s="2">
        <v>5975</v>
      </c>
      <c r="C566" t="s">
        <v>5</v>
      </c>
      <c r="D566" s="3">
        <v>46267.595532407409</v>
      </c>
      <c r="E566" s="7">
        <f>CaseDataTable[[#This Row],[Время]]</f>
        <v>46267.595532407409</v>
      </c>
    </row>
    <row r="567" spans="1:5">
      <c r="A567">
        <v>355</v>
      </c>
      <c r="B567" s="2">
        <v>8450</v>
      </c>
      <c r="C567" t="s">
        <v>12</v>
      </c>
      <c r="D567" s="3">
        <v>46267.604467592595</v>
      </c>
      <c r="E567" s="7">
        <f>CaseDataTable[[#This Row],[Время]]</f>
        <v>46267.604467592595</v>
      </c>
    </row>
    <row r="568" spans="1:5">
      <c r="A568">
        <v>572</v>
      </c>
      <c r="B568" s="2">
        <v>8945</v>
      </c>
      <c r="C568" t="s">
        <v>17</v>
      </c>
      <c r="D568" s="3">
        <v>46267.621087962965</v>
      </c>
      <c r="E568" s="7">
        <f>CaseDataTable[[#This Row],[Время]]</f>
        <v>46267.621087962965</v>
      </c>
    </row>
    <row r="569" spans="1:5">
      <c r="A569">
        <v>422</v>
      </c>
      <c r="B569" s="2">
        <v>9450</v>
      </c>
      <c r="C569" t="s">
        <v>14</v>
      </c>
      <c r="D569" s="3">
        <v>46267.645891203705</v>
      </c>
      <c r="E569" s="7">
        <f>CaseDataTable[[#This Row],[Время]]</f>
        <v>46267.645891203705</v>
      </c>
    </row>
    <row r="570" spans="1:5">
      <c r="A570">
        <v>493</v>
      </c>
      <c r="B570" s="2">
        <v>9950</v>
      </c>
      <c r="C570" t="s">
        <v>6</v>
      </c>
      <c r="D570" s="3">
        <v>46267.697835648149</v>
      </c>
      <c r="E570" s="7">
        <f>CaseDataTable[[#This Row],[Время]]</f>
        <v>46267.697835648149</v>
      </c>
    </row>
    <row r="571" spans="1:5">
      <c r="A571">
        <v>264</v>
      </c>
      <c r="B571" s="2">
        <v>4225</v>
      </c>
      <c r="C571" t="s">
        <v>12</v>
      </c>
      <c r="D571" s="3">
        <v>46267.776354166665</v>
      </c>
      <c r="E571" s="7">
        <f>CaseDataTable[[#This Row],[Время]]</f>
        <v>46267.776354166665</v>
      </c>
    </row>
    <row r="572" spans="1:5">
      <c r="A572">
        <v>264</v>
      </c>
      <c r="B572" s="2">
        <v>4225</v>
      </c>
      <c r="C572" t="s">
        <v>16</v>
      </c>
      <c r="D572" s="3">
        <v>46267.776354166665</v>
      </c>
      <c r="E572" s="7">
        <f>CaseDataTable[[#This Row],[Время]]</f>
        <v>46267.776354166665</v>
      </c>
    </row>
    <row r="573" spans="1:5">
      <c r="A573">
        <v>6</v>
      </c>
      <c r="B573" s="2">
        <v>8450</v>
      </c>
      <c r="C573" t="s">
        <v>17</v>
      </c>
      <c r="D573" s="3">
        <v>46267.803101851852</v>
      </c>
      <c r="E573" s="7">
        <f>CaseDataTable[[#This Row],[Время]]</f>
        <v>46267.803101851852</v>
      </c>
    </row>
    <row r="574" spans="1:5">
      <c r="A574">
        <v>404</v>
      </c>
      <c r="B574" s="2">
        <v>7475</v>
      </c>
      <c r="C574" t="s">
        <v>19</v>
      </c>
      <c r="D574" s="3">
        <v>46267.8125</v>
      </c>
      <c r="E574" s="7">
        <f>CaseDataTable[[#This Row],[Время]]</f>
        <v>46267.8125</v>
      </c>
    </row>
    <row r="575" spans="1:5">
      <c r="A575">
        <v>35</v>
      </c>
      <c r="B575" s="2">
        <v>4225</v>
      </c>
      <c r="C575" t="s">
        <v>12</v>
      </c>
      <c r="D575" s="3">
        <v>46267.943738425929</v>
      </c>
      <c r="E575" s="7">
        <f>CaseDataTable[[#This Row],[Время]]</f>
        <v>46267.943738425929</v>
      </c>
    </row>
    <row r="576" spans="1:5">
      <c r="A576">
        <v>450</v>
      </c>
      <c r="B576" s="2">
        <v>8950</v>
      </c>
      <c r="C576" t="s">
        <v>12</v>
      </c>
      <c r="D576" s="3">
        <v>46268.254594907405</v>
      </c>
      <c r="E576" s="7">
        <f>CaseDataTable[[#This Row],[Время]]</f>
        <v>46268.254594907405</v>
      </c>
    </row>
    <row r="577" spans="1:5">
      <c r="A577">
        <v>504</v>
      </c>
      <c r="B577" s="2">
        <v>5975</v>
      </c>
      <c r="C577" t="s">
        <v>5</v>
      </c>
      <c r="D577" s="3">
        <v>46268.269317129627</v>
      </c>
      <c r="E577" s="7">
        <f>CaseDataTable[[#This Row],[Время]]</f>
        <v>46268.269317129627</v>
      </c>
    </row>
    <row r="578" spans="1:5">
      <c r="A578">
        <v>273</v>
      </c>
      <c r="B578" s="2">
        <v>8950</v>
      </c>
      <c r="C578" t="s">
        <v>4</v>
      </c>
      <c r="D578" s="3">
        <v>46268.345729166664</v>
      </c>
      <c r="E578" s="7">
        <f>CaseDataTable[[#This Row],[Время]]</f>
        <v>46268.345729166664</v>
      </c>
    </row>
    <row r="579" spans="1:5">
      <c r="A579">
        <v>508</v>
      </c>
      <c r="B579" s="2">
        <v>5750</v>
      </c>
      <c r="C579" t="s">
        <v>12</v>
      </c>
      <c r="D579" s="3">
        <v>46268.353842592594</v>
      </c>
      <c r="E579" s="7">
        <f>CaseDataTable[[#This Row],[Время]]</f>
        <v>46268.353842592594</v>
      </c>
    </row>
    <row r="580" spans="1:5">
      <c r="A580">
        <v>395</v>
      </c>
      <c r="B580" s="2">
        <v>8950</v>
      </c>
      <c r="C580" t="s">
        <v>4</v>
      </c>
      <c r="D580" s="3">
        <v>46268.471203703702</v>
      </c>
      <c r="E580" s="7">
        <f>CaseDataTable[[#This Row],[Время]]</f>
        <v>46268.471203703702</v>
      </c>
    </row>
    <row r="581" spans="1:5">
      <c r="A581">
        <v>271</v>
      </c>
      <c r="B581" s="2">
        <v>7475</v>
      </c>
      <c r="C581" t="s">
        <v>4</v>
      </c>
      <c r="D581" s="3">
        <v>46268.538773148146</v>
      </c>
      <c r="E581" s="7">
        <f>CaseDataTable[[#This Row],[Время]]</f>
        <v>46268.538773148146</v>
      </c>
    </row>
    <row r="582" spans="1:5">
      <c r="A582">
        <v>271</v>
      </c>
      <c r="B582" s="2">
        <v>7475</v>
      </c>
      <c r="C582" t="s">
        <v>19</v>
      </c>
      <c r="D582" s="3">
        <v>46268.538773148146</v>
      </c>
      <c r="E582" s="7">
        <f>CaseDataTable[[#This Row],[Время]]</f>
        <v>46268.538773148146</v>
      </c>
    </row>
    <row r="583" spans="1:5">
      <c r="A583">
        <v>9</v>
      </c>
      <c r="B583" s="2">
        <v>8950</v>
      </c>
      <c r="C583" t="s">
        <v>17</v>
      </c>
      <c r="D583" s="3">
        <v>46268.622048611112</v>
      </c>
      <c r="E583" s="7">
        <f>CaseDataTable[[#This Row],[Время]]</f>
        <v>46268.622048611112</v>
      </c>
    </row>
    <row r="584" spans="1:5">
      <c r="A584">
        <v>205</v>
      </c>
      <c r="B584" s="2">
        <v>8950</v>
      </c>
      <c r="C584" t="s">
        <v>17</v>
      </c>
      <c r="D584" s="3">
        <v>46268.626273148147</v>
      </c>
      <c r="E584" s="7">
        <f>CaseDataTable[[#This Row],[Время]]</f>
        <v>46268.626273148147</v>
      </c>
    </row>
    <row r="585" spans="1:5">
      <c r="A585">
        <v>230</v>
      </c>
      <c r="B585" s="2">
        <v>8950</v>
      </c>
      <c r="C585" t="s">
        <v>17</v>
      </c>
      <c r="D585" s="3">
        <v>46268.630069444444</v>
      </c>
      <c r="E585" s="7">
        <f>CaseDataTable[[#This Row],[Время]]</f>
        <v>46268.630069444444</v>
      </c>
    </row>
    <row r="586" spans="1:5">
      <c r="A586">
        <v>330</v>
      </c>
      <c r="B586" s="2">
        <v>7475</v>
      </c>
      <c r="C586" t="s">
        <v>17</v>
      </c>
      <c r="D586" s="3">
        <v>46268.63212962963</v>
      </c>
      <c r="E586" s="7">
        <f>CaseDataTable[[#This Row],[Время]]</f>
        <v>46268.63212962963</v>
      </c>
    </row>
    <row r="587" spans="1:5">
      <c r="A587">
        <v>330</v>
      </c>
      <c r="B587" s="2">
        <v>7475</v>
      </c>
      <c r="C587" t="s">
        <v>5</v>
      </c>
      <c r="D587" s="3">
        <v>46268.63212962963</v>
      </c>
      <c r="E587" s="7">
        <f>CaseDataTable[[#This Row],[Время]]</f>
        <v>46268.63212962963</v>
      </c>
    </row>
    <row r="588" spans="1:5">
      <c r="A588">
        <v>376</v>
      </c>
      <c r="B588" s="2">
        <v>6950</v>
      </c>
      <c r="C588" t="s">
        <v>8</v>
      </c>
      <c r="D588" s="3">
        <v>46268.654907407406</v>
      </c>
      <c r="E588" s="7">
        <f>CaseDataTable[[#This Row],[Время]]</f>
        <v>46268.654907407406</v>
      </c>
    </row>
    <row r="589" spans="1:5">
      <c r="A589">
        <v>352</v>
      </c>
      <c r="B589" s="2">
        <v>8450</v>
      </c>
      <c r="C589" t="s">
        <v>19</v>
      </c>
      <c r="D589" s="3">
        <v>46268.682013888887</v>
      </c>
      <c r="E589" s="7">
        <f>CaseDataTable[[#This Row],[Время]]</f>
        <v>46268.682013888887</v>
      </c>
    </row>
    <row r="590" spans="1:5">
      <c r="A590">
        <v>345</v>
      </c>
      <c r="B590" s="2">
        <v>8950</v>
      </c>
      <c r="C590" t="s">
        <v>17</v>
      </c>
      <c r="D590" s="3">
        <v>46268.689756944441</v>
      </c>
      <c r="E590" s="7">
        <f>CaseDataTable[[#This Row],[Время]]</f>
        <v>46268.689756944441</v>
      </c>
    </row>
    <row r="591" spans="1:5">
      <c r="A591">
        <v>252</v>
      </c>
      <c r="B591" s="2">
        <v>8950</v>
      </c>
      <c r="C591" t="s">
        <v>12</v>
      </c>
      <c r="D591" s="3">
        <v>46268.691840277781</v>
      </c>
      <c r="E591" s="7">
        <f>CaseDataTable[[#This Row],[Время]]</f>
        <v>46268.691840277781</v>
      </c>
    </row>
    <row r="592" spans="1:5">
      <c r="A592">
        <v>318</v>
      </c>
      <c r="B592" s="2">
        <v>8450</v>
      </c>
      <c r="C592" t="s">
        <v>17</v>
      </c>
      <c r="D592" s="3">
        <v>46268.724745370368</v>
      </c>
      <c r="E592" s="7">
        <f>CaseDataTable[[#This Row],[Время]]</f>
        <v>46268.724745370368</v>
      </c>
    </row>
    <row r="593" spans="1:5">
      <c r="A593">
        <v>402</v>
      </c>
      <c r="B593" s="2">
        <v>8450</v>
      </c>
      <c r="C593" t="s">
        <v>4</v>
      </c>
      <c r="D593" s="3">
        <v>46268.729259259257</v>
      </c>
      <c r="E593" s="7">
        <f>CaseDataTable[[#This Row],[Время]]</f>
        <v>46268.729259259257</v>
      </c>
    </row>
    <row r="594" spans="1:5">
      <c r="A594">
        <v>594</v>
      </c>
      <c r="B594" s="2">
        <v>5000</v>
      </c>
      <c r="C594" t="s">
        <v>20</v>
      </c>
      <c r="D594" s="3">
        <v>46268.761550925927</v>
      </c>
      <c r="E594" s="7">
        <f>CaseDataTable[[#This Row],[Время]]</f>
        <v>46268.761550925927</v>
      </c>
    </row>
    <row r="595" spans="1:5">
      <c r="A595">
        <v>561</v>
      </c>
      <c r="B595" s="2">
        <v>18900</v>
      </c>
      <c r="C595" t="s">
        <v>14</v>
      </c>
      <c r="D595" s="3">
        <v>46268.788518518515</v>
      </c>
      <c r="E595" s="7">
        <f>CaseDataTable[[#This Row],[Время]]</f>
        <v>46268.788518518515</v>
      </c>
    </row>
    <row r="596" spans="1:5">
      <c r="A596">
        <v>409</v>
      </c>
      <c r="B596" s="2">
        <v>5000</v>
      </c>
      <c r="C596" t="s">
        <v>20</v>
      </c>
      <c r="D596" s="3">
        <v>46268.915925925925</v>
      </c>
      <c r="E596" s="7">
        <f>CaseDataTable[[#This Row],[Время]]</f>
        <v>46268.915925925925</v>
      </c>
    </row>
    <row r="597" spans="1:5">
      <c r="A597">
        <v>3</v>
      </c>
      <c r="B597" s="2">
        <v>5975</v>
      </c>
      <c r="C597" t="s">
        <v>13</v>
      </c>
      <c r="D597" s="3">
        <v>46268.949328703704</v>
      </c>
      <c r="E597" s="7">
        <f>CaseDataTable[[#This Row],[Время]]</f>
        <v>46268.949328703704</v>
      </c>
    </row>
    <row r="598" spans="1:5">
      <c r="A598">
        <v>601</v>
      </c>
      <c r="B598" s="2">
        <v>7475</v>
      </c>
      <c r="C598" t="s">
        <v>20</v>
      </c>
      <c r="D598" s="3">
        <v>46269.202650462961</v>
      </c>
      <c r="E598" s="7">
        <f>CaseDataTable[[#This Row],[Время]]</f>
        <v>46269.202650462961</v>
      </c>
    </row>
    <row r="599" spans="1:5">
      <c r="A599">
        <v>601</v>
      </c>
      <c r="B599" s="2">
        <v>7475</v>
      </c>
      <c r="C599" t="s">
        <v>4</v>
      </c>
      <c r="D599" s="3">
        <v>46269.202650462961</v>
      </c>
      <c r="E599" s="7">
        <f>CaseDataTable[[#This Row],[Время]]</f>
        <v>46269.202650462961</v>
      </c>
    </row>
    <row r="600" spans="1:5">
      <c r="A600">
        <v>601</v>
      </c>
      <c r="B600" s="2">
        <v>7475</v>
      </c>
      <c r="C600" t="s">
        <v>11</v>
      </c>
      <c r="D600" s="3">
        <v>46269.202650462961</v>
      </c>
      <c r="E600" s="7">
        <f>CaseDataTable[[#This Row],[Время]]</f>
        <v>46269.202650462961</v>
      </c>
    </row>
    <row r="601" spans="1:5">
      <c r="A601">
        <v>363</v>
      </c>
      <c r="B601" s="2">
        <v>8945</v>
      </c>
      <c r="C601" t="s">
        <v>12</v>
      </c>
      <c r="D601" s="3">
        <v>46269.270046296297</v>
      </c>
      <c r="E601" s="7">
        <f>CaseDataTable[[#This Row],[Время]]</f>
        <v>46269.270046296297</v>
      </c>
    </row>
    <row r="602" spans="1:5">
      <c r="A602">
        <v>124</v>
      </c>
      <c r="B602" s="2">
        <v>9950</v>
      </c>
      <c r="C602" t="s">
        <v>6</v>
      </c>
      <c r="D602" s="3">
        <v>46269.273981481485</v>
      </c>
      <c r="E602" s="7">
        <f>CaseDataTable[[#This Row],[Время]]</f>
        <v>46269.273981481485</v>
      </c>
    </row>
    <row r="603" spans="1:5">
      <c r="A603">
        <v>490</v>
      </c>
      <c r="B603" s="2">
        <v>8450</v>
      </c>
      <c r="C603" t="s">
        <v>20</v>
      </c>
      <c r="D603" s="3">
        <v>46269.417870370373</v>
      </c>
      <c r="E603" s="7">
        <f>CaseDataTable[[#This Row],[Время]]</f>
        <v>46269.417870370373</v>
      </c>
    </row>
    <row r="604" spans="1:5">
      <c r="A604">
        <v>326</v>
      </c>
      <c r="B604" s="2">
        <v>7475</v>
      </c>
      <c r="C604" t="s">
        <v>17</v>
      </c>
      <c r="D604" s="3">
        <v>46269.455393518518</v>
      </c>
      <c r="E604" s="7">
        <f>CaseDataTable[[#This Row],[Время]]</f>
        <v>46269.455393518518</v>
      </c>
    </row>
    <row r="605" spans="1:5">
      <c r="A605">
        <v>326</v>
      </c>
      <c r="B605" s="2">
        <v>7475</v>
      </c>
      <c r="C605" t="s">
        <v>5</v>
      </c>
      <c r="D605" s="3">
        <v>46269.455393518518</v>
      </c>
      <c r="E605" s="7">
        <f>CaseDataTable[[#This Row],[Время]]</f>
        <v>46269.455393518518</v>
      </c>
    </row>
    <row r="606" spans="1:5">
      <c r="A606">
        <v>590</v>
      </c>
      <c r="B606" s="2">
        <v>8945</v>
      </c>
      <c r="C606" t="s">
        <v>12</v>
      </c>
      <c r="D606" s="3">
        <v>46269.461238425924</v>
      </c>
      <c r="E606" s="7">
        <f>CaseDataTable[[#This Row],[Время]]</f>
        <v>46269.461238425924</v>
      </c>
    </row>
    <row r="607" spans="1:5">
      <c r="A607">
        <v>379</v>
      </c>
      <c r="B607" s="2">
        <v>7475</v>
      </c>
      <c r="C607" t="s">
        <v>17</v>
      </c>
      <c r="D607" s="3">
        <v>46269.489525462966</v>
      </c>
      <c r="E607" s="7">
        <f>CaseDataTable[[#This Row],[Время]]</f>
        <v>46269.489525462966</v>
      </c>
    </row>
    <row r="608" spans="1:5">
      <c r="A608">
        <v>317</v>
      </c>
      <c r="B608" s="2">
        <v>8950</v>
      </c>
      <c r="C608" t="s">
        <v>17</v>
      </c>
      <c r="D608" s="3">
        <v>46269.552939814814</v>
      </c>
      <c r="E608" s="7">
        <f>CaseDataTable[[#This Row],[Время]]</f>
        <v>46269.552939814814</v>
      </c>
    </row>
    <row r="609" spans="1:5">
      <c r="A609">
        <v>354</v>
      </c>
      <c r="B609" s="2">
        <v>8245</v>
      </c>
      <c r="C609" t="s">
        <v>21</v>
      </c>
      <c r="D609" s="3">
        <v>46269.574594907404</v>
      </c>
      <c r="E609" s="7">
        <f>CaseDataTable[[#This Row],[Время]]</f>
        <v>46269.574594907404</v>
      </c>
    </row>
    <row r="610" spans="1:5">
      <c r="A610">
        <v>383</v>
      </c>
      <c r="B610" s="2">
        <v>8950</v>
      </c>
      <c r="C610" t="s">
        <v>17</v>
      </c>
      <c r="D610" s="3">
        <v>46269.590995370374</v>
      </c>
      <c r="E610" s="7">
        <f>CaseDataTable[[#This Row],[Время]]</f>
        <v>46269.590995370374</v>
      </c>
    </row>
    <row r="611" spans="1:5">
      <c r="A611">
        <v>375</v>
      </c>
      <c r="B611" s="2">
        <v>7000</v>
      </c>
      <c r="C611" t="s">
        <v>19</v>
      </c>
      <c r="D611" s="3">
        <v>46269.596851851849</v>
      </c>
      <c r="E611" s="7">
        <f>CaseDataTable[[#This Row],[Время]]</f>
        <v>46269.596851851849</v>
      </c>
    </row>
    <row r="612" spans="1:5">
      <c r="A612">
        <v>582</v>
      </c>
      <c r="B612" s="2">
        <v>8950</v>
      </c>
      <c r="C612" t="s">
        <v>5</v>
      </c>
      <c r="D612" s="3">
        <v>46269.627685185187</v>
      </c>
      <c r="E612" s="7">
        <f>CaseDataTable[[#This Row],[Время]]</f>
        <v>46269.627685185187</v>
      </c>
    </row>
    <row r="613" spans="1:5">
      <c r="A613">
        <v>378</v>
      </c>
      <c r="B613" s="2">
        <v>8950</v>
      </c>
      <c r="C613" t="s">
        <v>17</v>
      </c>
      <c r="D613" s="3">
        <v>46269.631099537037</v>
      </c>
      <c r="E613" s="7">
        <f>CaseDataTable[[#This Row],[Время]]</f>
        <v>46269.631099537037</v>
      </c>
    </row>
    <row r="614" spans="1:5">
      <c r="A614">
        <v>28</v>
      </c>
      <c r="B614" s="2">
        <v>7475</v>
      </c>
      <c r="C614" t="s">
        <v>17</v>
      </c>
      <c r="D614" s="3">
        <v>46269.635810185187</v>
      </c>
      <c r="E614" s="7">
        <f>CaseDataTable[[#This Row],[Время]]</f>
        <v>46269.635810185187</v>
      </c>
    </row>
    <row r="615" spans="1:5">
      <c r="A615">
        <v>28</v>
      </c>
      <c r="B615" s="2">
        <v>7475</v>
      </c>
      <c r="C615" t="s">
        <v>5</v>
      </c>
      <c r="D615" s="3">
        <v>46269.635810185187</v>
      </c>
      <c r="E615" s="7">
        <f>CaseDataTable[[#This Row],[Время]]</f>
        <v>46269.635810185187</v>
      </c>
    </row>
    <row r="616" spans="1:5">
      <c r="A616">
        <v>302</v>
      </c>
      <c r="B616" s="2">
        <v>7475</v>
      </c>
      <c r="C616" t="s">
        <v>17</v>
      </c>
      <c r="D616" s="3">
        <v>46269.639432870368</v>
      </c>
      <c r="E616" s="7">
        <f>CaseDataTable[[#This Row],[Время]]</f>
        <v>46269.639432870368</v>
      </c>
    </row>
    <row r="617" spans="1:5">
      <c r="A617">
        <v>303</v>
      </c>
      <c r="B617" s="2">
        <v>7475</v>
      </c>
      <c r="C617" t="s">
        <v>4</v>
      </c>
      <c r="D617" s="3">
        <v>46269.640185185184</v>
      </c>
      <c r="E617" s="7">
        <f>CaseDataTable[[#This Row],[Время]]</f>
        <v>46269.640185185184</v>
      </c>
    </row>
    <row r="618" spans="1:5">
      <c r="A618">
        <v>303</v>
      </c>
      <c r="B618" s="2">
        <v>7475</v>
      </c>
      <c r="C618" t="s">
        <v>11</v>
      </c>
      <c r="D618" s="3">
        <v>46269.640185185184</v>
      </c>
      <c r="E618" s="7">
        <f>CaseDataTable[[#This Row],[Время]]</f>
        <v>46269.640185185184</v>
      </c>
    </row>
    <row r="619" spans="1:5">
      <c r="A619">
        <v>15</v>
      </c>
      <c r="B619" s="2">
        <v>8450</v>
      </c>
      <c r="C619" t="s">
        <v>17</v>
      </c>
      <c r="D619" s="3">
        <v>46269.643055555556</v>
      </c>
      <c r="E619" s="7">
        <f>CaseDataTable[[#This Row],[Время]]</f>
        <v>46269.643055555556</v>
      </c>
    </row>
    <row r="620" spans="1:5">
      <c r="A620">
        <v>197</v>
      </c>
      <c r="B620" s="2">
        <v>7475</v>
      </c>
      <c r="C620" t="s">
        <v>20</v>
      </c>
      <c r="D620" s="3">
        <v>46269.652442129627</v>
      </c>
      <c r="E620" s="7">
        <f>CaseDataTable[[#This Row],[Время]]</f>
        <v>46269.652442129627</v>
      </c>
    </row>
    <row r="621" spans="1:5">
      <c r="A621">
        <v>197</v>
      </c>
      <c r="B621" s="2">
        <v>7475</v>
      </c>
      <c r="C621" t="s">
        <v>12</v>
      </c>
      <c r="D621" s="3">
        <v>46269.652442129627</v>
      </c>
      <c r="E621" s="7">
        <f>CaseDataTable[[#This Row],[Время]]</f>
        <v>46269.652442129627</v>
      </c>
    </row>
    <row r="622" spans="1:5">
      <c r="A622">
        <v>574</v>
      </c>
      <c r="B622" s="2">
        <v>7475</v>
      </c>
      <c r="C622" t="s">
        <v>4</v>
      </c>
      <c r="D622" s="3">
        <v>46269.68681712963</v>
      </c>
      <c r="E622" s="7">
        <f>CaseDataTable[[#This Row],[Время]]</f>
        <v>46269.68681712963</v>
      </c>
    </row>
    <row r="623" spans="1:5">
      <c r="A623">
        <v>198</v>
      </c>
      <c r="B623" s="2">
        <v>7475</v>
      </c>
      <c r="C623" t="s">
        <v>5</v>
      </c>
      <c r="D623" s="3">
        <v>46269.697881944441</v>
      </c>
      <c r="E623" s="7">
        <f>CaseDataTable[[#This Row],[Время]]</f>
        <v>46269.697881944441</v>
      </c>
    </row>
    <row r="624" spans="1:5">
      <c r="A624">
        <v>576</v>
      </c>
      <c r="B624" s="2">
        <v>7475</v>
      </c>
      <c r="C624" t="s">
        <v>11</v>
      </c>
      <c r="D624" s="3">
        <v>46269.726782407408</v>
      </c>
      <c r="E624" s="7">
        <f>CaseDataTable[[#This Row],[Время]]</f>
        <v>46269.726782407408</v>
      </c>
    </row>
    <row r="625" spans="1:5">
      <c r="A625">
        <v>471</v>
      </c>
      <c r="B625" s="2">
        <v>9950</v>
      </c>
      <c r="C625" t="s">
        <v>6</v>
      </c>
      <c r="D625" s="3">
        <v>46269.758923611109</v>
      </c>
      <c r="E625" s="7">
        <f>CaseDataTable[[#This Row],[Время]]</f>
        <v>46269.758923611109</v>
      </c>
    </row>
    <row r="626" spans="1:5">
      <c r="A626">
        <v>428</v>
      </c>
      <c r="B626" s="2">
        <v>8950</v>
      </c>
      <c r="C626" t="s">
        <v>4</v>
      </c>
      <c r="D626" s="3">
        <v>46269.773425925923</v>
      </c>
      <c r="E626" s="7">
        <f>CaseDataTable[[#This Row],[Время]]</f>
        <v>46269.773425925923</v>
      </c>
    </row>
    <row r="627" spans="1:5">
      <c r="A627">
        <v>428</v>
      </c>
      <c r="B627" s="2">
        <v>8950</v>
      </c>
      <c r="C627" t="s">
        <v>11</v>
      </c>
      <c r="D627" s="3">
        <v>46269.773425925923</v>
      </c>
      <c r="E627" s="7">
        <f>CaseDataTable[[#This Row],[Время]]</f>
        <v>46269.773425925923</v>
      </c>
    </row>
    <row r="628" spans="1:5">
      <c r="A628">
        <v>94</v>
      </c>
      <c r="B628" s="2">
        <v>8950</v>
      </c>
      <c r="C628" t="s">
        <v>12</v>
      </c>
      <c r="D628" s="3">
        <v>46269.784571759257</v>
      </c>
      <c r="E628" s="7">
        <f>CaseDataTable[[#This Row],[Время]]</f>
        <v>46269.784571759257</v>
      </c>
    </row>
    <row r="629" spans="1:5">
      <c r="A629">
        <v>1</v>
      </c>
      <c r="B629" s="2">
        <v>8950</v>
      </c>
      <c r="C629" t="s">
        <v>5</v>
      </c>
      <c r="D629" s="3">
        <v>46269.813159722224</v>
      </c>
      <c r="E629" s="7">
        <f>CaseDataTable[[#This Row],[Время]]</f>
        <v>46269.813159722224</v>
      </c>
    </row>
    <row r="630" spans="1:5">
      <c r="A630">
        <v>384</v>
      </c>
      <c r="B630" s="2">
        <v>8450</v>
      </c>
      <c r="C630" t="s">
        <v>17</v>
      </c>
      <c r="D630" s="3">
        <v>46269.860300925924</v>
      </c>
      <c r="E630" s="7">
        <f>CaseDataTable[[#This Row],[Время]]</f>
        <v>46269.860300925924</v>
      </c>
    </row>
    <row r="631" spans="1:5">
      <c r="A631">
        <v>43</v>
      </c>
      <c r="B631" s="2">
        <v>6475</v>
      </c>
      <c r="C631" t="s">
        <v>13</v>
      </c>
      <c r="D631" s="3">
        <v>46270.303124999999</v>
      </c>
      <c r="E631" s="7">
        <f>CaseDataTable[[#This Row],[Время]]</f>
        <v>46270.303124999999</v>
      </c>
    </row>
    <row r="632" spans="1:5">
      <c r="A632">
        <v>43</v>
      </c>
      <c r="B632" s="2">
        <v>6475</v>
      </c>
      <c r="C632" t="s">
        <v>5</v>
      </c>
      <c r="D632" s="3">
        <v>46270.303124999999</v>
      </c>
      <c r="E632" s="7">
        <f>CaseDataTable[[#This Row],[Время]]</f>
        <v>46270.303124999999</v>
      </c>
    </row>
    <row r="633" spans="1:5">
      <c r="A633">
        <v>309</v>
      </c>
      <c r="B633" s="2">
        <v>8950</v>
      </c>
      <c r="C633" t="s">
        <v>4</v>
      </c>
      <c r="D633" s="3">
        <v>46270.413657407407</v>
      </c>
      <c r="E633" s="7">
        <f>CaseDataTable[[#This Row],[Время]]</f>
        <v>46270.413657407407</v>
      </c>
    </row>
    <row r="634" spans="1:5">
      <c r="A634">
        <v>502</v>
      </c>
      <c r="B634" s="2">
        <v>8450</v>
      </c>
      <c r="C634" t="s">
        <v>4</v>
      </c>
      <c r="D634" s="3">
        <v>46270.42459490741</v>
      </c>
      <c r="E634" s="7">
        <f>CaseDataTable[[#This Row],[Время]]</f>
        <v>46270.42459490741</v>
      </c>
    </row>
    <row r="635" spans="1:5">
      <c r="A635">
        <v>591</v>
      </c>
      <c r="B635" s="2">
        <v>8450</v>
      </c>
      <c r="C635" t="s">
        <v>20</v>
      </c>
      <c r="D635" s="3">
        <v>46270.426226851851</v>
      </c>
      <c r="E635" s="7">
        <f>CaseDataTable[[#This Row],[Время]]</f>
        <v>46270.426226851851</v>
      </c>
    </row>
    <row r="636" spans="1:5">
      <c r="A636">
        <v>394</v>
      </c>
      <c r="B636" s="2">
        <v>8950</v>
      </c>
      <c r="C636" t="s">
        <v>19</v>
      </c>
      <c r="D636" s="3">
        <v>46270.428969907407</v>
      </c>
      <c r="E636" s="7">
        <f>CaseDataTable[[#This Row],[Время]]</f>
        <v>46270.428969907407</v>
      </c>
    </row>
    <row r="637" spans="1:5">
      <c r="A637">
        <v>155</v>
      </c>
      <c r="B637" s="2">
        <v>7475</v>
      </c>
      <c r="C637" t="s">
        <v>12</v>
      </c>
      <c r="D637" s="3">
        <v>46270.431203703702</v>
      </c>
      <c r="E637" s="7">
        <f>CaseDataTable[[#This Row],[Время]]</f>
        <v>46270.431203703702</v>
      </c>
    </row>
    <row r="638" spans="1:5">
      <c r="A638">
        <v>155</v>
      </c>
      <c r="B638" s="2">
        <v>7475</v>
      </c>
      <c r="C638" t="s">
        <v>10</v>
      </c>
      <c r="D638" s="3">
        <v>46270.431203703702</v>
      </c>
      <c r="E638" s="7">
        <f>CaseDataTable[[#This Row],[Время]]</f>
        <v>46270.431203703702</v>
      </c>
    </row>
    <row r="639" spans="1:5">
      <c r="A639">
        <v>533</v>
      </c>
      <c r="B639" s="2">
        <v>8450</v>
      </c>
      <c r="C639" t="s">
        <v>20</v>
      </c>
      <c r="D639" s="3">
        <v>46270.433495370373</v>
      </c>
      <c r="E639" s="7">
        <f>CaseDataTable[[#This Row],[Время]]</f>
        <v>46270.433495370373</v>
      </c>
    </row>
    <row r="640" spans="1:5">
      <c r="A640">
        <v>510</v>
      </c>
      <c r="B640" s="2">
        <v>8950</v>
      </c>
      <c r="C640" t="s">
        <v>20</v>
      </c>
      <c r="D640" s="3">
        <v>46270.440763888888</v>
      </c>
      <c r="E640" s="7">
        <f>CaseDataTable[[#This Row],[Время]]</f>
        <v>46270.440763888888</v>
      </c>
    </row>
    <row r="641" spans="1:5">
      <c r="A641">
        <v>328</v>
      </c>
      <c r="B641" s="2">
        <v>7475</v>
      </c>
      <c r="C641" t="s">
        <v>4</v>
      </c>
      <c r="D641" s="3">
        <v>46270.457245370373</v>
      </c>
      <c r="E641" s="7">
        <f>CaseDataTable[[#This Row],[Время]]</f>
        <v>46270.457245370373</v>
      </c>
    </row>
    <row r="642" spans="1:5">
      <c r="A642">
        <v>328</v>
      </c>
      <c r="B642" s="2">
        <v>7475</v>
      </c>
      <c r="C642" t="s">
        <v>17</v>
      </c>
      <c r="D642" s="3">
        <v>46270.457245370373</v>
      </c>
      <c r="E642" s="7">
        <f>CaseDataTable[[#This Row],[Время]]</f>
        <v>46270.457245370373</v>
      </c>
    </row>
    <row r="643" spans="1:5">
      <c r="A643">
        <v>31</v>
      </c>
      <c r="B643" s="2">
        <v>7475</v>
      </c>
      <c r="C643" t="s">
        <v>4</v>
      </c>
      <c r="D643" s="3">
        <v>46270.45857638889</v>
      </c>
      <c r="E643" s="7">
        <f>CaseDataTable[[#This Row],[Время]]</f>
        <v>46270.45857638889</v>
      </c>
    </row>
    <row r="644" spans="1:5">
      <c r="A644">
        <v>397</v>
      </c>
      <c r="B644" s="2">
        <v>8950</v>
      </c>
      <c r="C644" t="s">
        <v>5</v>
      </c>
      <c r="D644" s="3">
        <v>46270.45989583333</v>
      </c>
      <c r="E644" s="7">
        <f>CaseDataTable[[#This Row],[Время]]</f>
        <v>46270.45989583333</v>
      </c>
    </row>
    <row r="645" spans="1:5">
      <c r="A645">
        <v>487</v>
      </c>
      <c r="B645" s="2">
        <v>7475</v>
      </c>
      <c r="C645" t="s">
        <v>4</v>
      </c>
      <c r="D645" s="3">
        <v>46270.459918981483</v>
      </c>
      <c r="E645" s="7">
        <f>CaseDataTable[[#This Row],[Время]]</f>
        <v>46270.459918981483</v>
      </c>
    </row>
    <row r="646" spans="1:5">
      <c r="A646">
        <v>487</v>
      </c>
      <c r="B646" s="2">
        <v>7475</v>
      </c>
      <c r="C646" t="s">
        <v>11</v>
      </c>
      <c r="D646" s="3">
        <v>46270.459918981483</v>
      </c>
      <c r="E646" s="7">
        <f>CaseDataTable[[#This Row],[Время]]</f>
        <v>46270.459918981483</v>
      </c>
    </row>
    <row r="647" spans="1:5">
      <c r="A647">
        <v>515</v>
      </c>
      <c r="B647" s="2">
        <v>8450</v>
      </c>
      <c r="C647" t="s">
        <v>17</v>
      </c>
      <c r="D647" s="3">
        <v>46270.506666666668</v>
      </c>
      <c r="E647" s="7">
        <f>CaseDataTable[[#This Row],[Время]]</f>
        <v>46270.506666666668</v>
      </c>
    </row>
    <row r="648" spans="1:5">
      <c r="A648">
        <v>155</v>
      </c>
      <c r="B648" s="2">
        <v>7000</v>
      </c>
      <c r="C648" t="s">
        <v>15</v>
      </c>
      <c r="D648" s="3">
        <v>46270.50953703704</v>
      </c>
      <c r="E648" s="7">
        <f>CaseDataTable[[#This Row],[Время]]</f>
        <v>46270.50953703704</v>
      </c>
    </row>
    <row r="649" spans="1:5">
      <c r="A649">
        <v>117</v>
      </c>
      <c r="B649" s="2">
        <v>8450</v>
      </c>
      <c r="C649" t="s">
        <v>17</v>
      </c>
      <c r="D649" s="3">
        <v>46270.524016203701</v>
      </c>
      <c r="E649" s="7">
        <f>CaseDataTable[[#This Row],[Время]]</f>
        <v>46270.524016203701</v>
      </c>
    </row>
    <row r="650" spans="1:5">
      <c r="A650">
        <v>517</v>
      </c>
      <c r="B650" s="2">
        <v>8950</v>
      </c>
      <c r="C650" t="s">
        <v>17</v>
      </c>
      <c r="D650" s="3">
        <v>46270.533368055556</v>
      </c>
      <c r="E650" s="7">
        <f>CaseDataTable[[#This Row],[Время]]</f>
        <v>46270.533368055556</v>
      </c>
    </row>
    <row r="651" spans="1:5">
      <c r="A651">
        <v>238</v>
      </c>
      <c r="B651" s="2">
        <v>8950</v>
      </c>
      <c r="C651" t="s">
        <v>12</v>
      </c>
      <c r="D651" s="3">
        <v>46270.561759259261</v>
      </c>
      <c r="E651" s="7">
        <f>CaseDataTable[[#This Row],[Время]]</f>
        <v>46270.561759259261</v>
      </c>
    </row>
    <row r="652" spans="1:5">
      <c r="A652">
        <v>406</v>
      </c>
      <c r="B652" s="2">
        <v>8450</v>
      </c>
      <c r="C652" t="s">
        <v>4</v>
      </c>
      <c r="D652" s="3">
        <v>46270.579953703702</v>
      </c>
      <c r="E652" s="7">
        <f>CaseDataTable[[#This Row],[Время]]</f>
        <v>46270.579953703702</v>
      </c>
    </row>
    <row r="653" spans="1:5">
      <c r="A653">
        <v>270</v>
      </c>
      <c r="B653" s="2">
        <v>8950</v>
      </c>
      <c r="C653" t="s">
        <v>17</v>
      </c>
      <c r="D653" s="3">
        <v>46270.589479166665</v>
      </c>
      <c r="E653" s="7">
        <f>CaseDataTable[[#This Row],[Время]]</f>
        <v>46270.589479166665</v>
      </c>
    </row>
    <row r="654" spans="1:5">
      <c r="A654">
        <v>48</v>
      </c>
      <c r="B654" s="2">
        <v>8950</v>
      </c>
      <c r="C654" t="s">
        <v>12</v>
      </c>
      <c r="D654" s="3">
        <v>46270.600335648145</v>
      </c>
      <c r="E654" s="7">
        <f>CaseDataTable[[#This Row],[Время]]</f>
        <v>46270.600335648145</v>
      </c>
    </row>
    <row r="655" spans="1:5">
      <c r="A655">
        <v>405</v>
      </c>
      <c r="B655" s="2">
        <v>8950</v>
      </c>
      <c r="C655" t="s">
        <v>10</v>
      </c>
      <c r="D655" s="3">
        <v>46270.603773148148</v>
      </c>
      <c r="E655" s="7">
        <f>CaseDataTable[[#This Row],[Время]]</f>
        <v>46270.603773148148</v>
      </c>
    </row>
    <row r="656" spans="1:5">
      <c r="A656">
        <v>18</v>
      </c>
      <c r="B656" s="2">
        <v>8950</v>
      </c>
      <c r="C656" t="s">
        <v>19</v>
      </c>
      <c r="D656" s="3">
        <v>46270.603807870371</v>
      </c>
      <c r="E656" s="7">
        <f>CaseDataTable[[#This Row],[Время]]</f>
        <v>46270.603807870371</v>
      </c>
    </row>
    <row r="657" spans="1:5">
      <c r="A657">
        <v>362</v>
      </c>
      <c r="B657" s="2">
        <v>8450</v>
      </c>
      <c r="C657" t="s">
        <v>4</v>
      </c>
      <c r="D657" s="3">
        <v>46270.619710648149</v>
      </c>
      <c r="E657" s="7">
        <f>CaseDataTable[[#This Row],[Время]]</f>
        <v>46270.619710648149</v>
      </c>
    </row>
    <row r="658" spans="1:5">
      <c r="A658">
        <v>250</v>
      </c>
      <c r="B658" s="2">
        <v>7475</v>
      </c>
      <c r="C658" t="s">
        <v>12</v>
      </c>
      <c r="D658" s="3">
        <v>46270.621111111112</v>
      </c>
      <c r="E658" s="7">
        <f>CaseDataTable[[#This Row],[Время]]</f>
        <v>46270.621111111112</v>
      </c>
    </row>
    <row r="659" spans="1:5">
      <c r="A659">
        <v>250</v>
      </c>
      <c r="B659" s="2">
        <v>7475</v>
      </c>
      <c r="C659" t="s">
        <v>10</v>
      </c>
      <c r="D659" s="3">
        <v>46270.621111111112</v>
      </c>
      <c r="E659" s="7">
        <f>CaseDataTable[[#This Row],[Время]]</f>
        <v>46270.621111111112</v>
      </c>
    </row>
    <row r="660" spans="1:5">
      <c r="A660">
        <v>540</v>
      </c>
      <c r="B660" s="2">
        <v>8950</v>
      </c>
      <c r="C660" t="s">
        <v>17</v>
      </c>
      <c r="D660" s="3">
        <v>46270.623391203706</v>
      </c>
      <c r="E660" s="7">
        <f>CaseDataTable[[#This Row],[Время]]</f>
        <v>46270.623391203706</v>
      </c>
    </row>
    <row r="661" spans="1:5">
      <c r="A661">
        <v>461</v>
      </c>
      <c r="B661" s="2">
        <v>7475</v>
      </c>
      <c r="C661" t="s">
        <v>17</v>
      </c>
      <c r="D661" s="3">
        <v>46270.625752314816</v>
      </c>
      <c r="E661" s="7">
        <f>CaseDataTable[[#This Row],[Время]]</f>
        <v>46270.625752314816</v>
      </c>
    </row>
    <row r="662" spans="1:5">
      <c r="A662">
        <v>461</v>
      </c>
      <c r="B662" s="2">
        <v>7475</v>
      </c>
      <c r="C662" t="s">
        <v>5</v>
      </c>
      <c r="D662" s="3">
        <v>46270.625752314816</v>
      </c>
      <c r="E662" s="7">
        <f>CaseDataTable[[#This Row],[Время]]</f>
        <v>46270.625752314816</v>
      </c>
    </row>
    <row r="663" spans="1:5">
      <c r="A663">
        <v>556</v>
      </c>
      <c r="B663" s="2">
        <v>7475</v>
      </c>
      <c r="C663" t="s">
        <v>17</v>
      </c>
      <c r="D663" s="3">
        <v>46270.636967592596</v>
      </c>
      <c r="E663" s="7">
        <f>CaseDataTable[[#This Row],[Время]]</f>
        <v>46270.636967592596</v>
      </c>
    </row>
    <row r="664" spans="1:5">
      <c r="A664">
        <v>431</v>
      </c>
      <c r="B664" s="2">
        <v>8950</v>
      </c>
      <c r="C664" t="s">
        <v>15</v>
      </c>
      <c r="D664" s="3">
        <v>46270.644780092596</v>
      </c>
      <c r="E664" s="7">
        <f>CaseDataTable[[#This Row],[Время]]</f>
        <v>46270.644780092596</v>
      </c>
    </row>
    <row r="665" spans="1:5">
      <c r="A665">
        <v>169</v>
      </c>
      <c r="B665" s="2">
        <v>8950</v>
      </c>
      <c r="C665" t="s">
        <v>17</v>
      </c>
      <c r="D665" s="3">
        <v>46270.657824074071</v>
      </c>
      <c r="E665" s="7">
        <f>CaseDataTable[[#This Row],[Время]]</f>
        <v>46270.657824074071</v>
      </c>
    </row>
    <row r="666" spans="1:5">
      <c r="A666">
        <v>245</v>
      </c>
      <c r="B666" s="2">
        <v>8950</v>
      </c>
      <c r="C666" t="s">
        <v>12</v>
      </c>
      <c r="D666" s="3">
        <v>46270.663171296299</v>
      </c>
      <c r="E666" s="7">
        <f>CaseDataTable[[#This Row],[Время]]</f>
        <v>46270.663171296299</v>
      </c>
    </row>
    <row r="667" spans="1:5">
      <c r="A667">
        <v>2</v>
      </c>
      <c r="B667" s="2">
        <v>8950</v>
      </c>
      <c r="C667" t="s">
        <v>4</v>
      </c>
      <c r="D667" s="3">
        <v>46270.682500000003</v>
      </c>
      <c r="E667" s="7">
        <f>CaseDataTable[[#This Row],[Время]]</f>
        <v>46270.682500000003</v>
      </c>
    </row>
    <row r="668" spans="1:5">
      <c r="A668">
        <v>414</v>
      </c>
      <c r="B668" s="2">
        <v>8950</v>
      </c>
      <c r="C668" t="s">
        <v>4</v>
      </c>
      <c r="D668" s="3">
        <v>46270.684212962966</v>
      </c>
      <c r="E668" s="7">
        <f>CaseDataTable[[#This Row],[Время]]</f>
        <v>46270.684212962966</v>
      </c>
    </row>
    <row r="669" spans="1:5">
      <c r="A669">
        <v>596</v>
      </c>
      <c r="B669" s="2">
        <v>8950</v>
      </c>
      <c r="C669" t="s">
        <v>4</v>
      </c>
      <c r="D669" s="3">
        <v>46270.68513888889</v>
      </c>
      <c r="E669" s="7">
        <f>CaseDataTable[[#This Row],[Время]]</f>
        <v>46270.68513888889</v>
      </c>
    </row>
    <row r="670" spans="1:5">
      <c r="A670">
        <v>67</v>
      </c>
      <c r="B670" s="2">
        <v>8950</v>
      </c>
      <c r="C670" t="s">
        <v>4</v>
      </c>
      <c r="D670" s="3">
        <v>46270.711574074077</v>
      </c>
      <c r="E670" s="7">
        <f>CaseDataTable[[#This Row],[Время]]</f>
        <v>46270.711574074077</v>
      </c>
    </row>
    <row r="671" spans="1:5">
      <c r="A671">
        <v>210</v>
      </c>
      <c r="B671" s="2">
        <v>7475</v>
      </c>
      <c r="C671" t="s">
        <v>5</v>
      </c>
      <c r="D671" s="3">
        <v>46270.717106481483</v>
      </c>
      <c r="E671" s="7">
        <f>CaseDataTable[[#This Row],[Время]]</f>
        <v>46270.717106481483</v>
      </c>
    </row>
    <row r="672" spans="1:5">
      <c r="A672">
        <v>127</v>
      </c>
      <c r="B672" s="2">
        <v>8950</v>
      </c>
      <c r="C672" t="s">
        <v>4</v>
      </c>
      <c r="D672" s="3">
        <v>46270.72755787037</v>
      </c>
      <c r="E672" s="7">
        <f>CaseDataTable[[#This Row],[Время]]</f>
        <v>46270.72755787037</v>
      </c>
    </row>
    <row r="673" spans="1:5">
      <c r="A673">
        <v>602</v>
      </c>
      <c r="B673" s="2">
        <v>8450</v>
      </c>
      <c r="C673" t="s">
        <v>12</v>
      </c>
      <c r="D673" s="3">
        <v>46270.737951388888</v>
      </c>
      <c r="E673" s="7">
        <f>CaseDataTable[[#This Row],[Время]]</f>
        <v>46270.737951388888</v>
      </c>
    </row>
    <row r="674" spans="1:5">
      <c r="A674">
        <v>109</v>
      </c>
      <c r="B674" s="2">
        <v>8950</v>
      </c>
      <c r="C674" t="s">
        <v>4</v>
      </c>
      <c r="D674" s="3">
        <v>46270.748333333337</v>
      </c>
      <c r="E674" s="7">
        <f>CaseDataTable[[#This Row],[Время]]</f>
        <v>46270.748333333337</v>
      </c>
    </row>
    <row r="675" spans="1:5">
      <c r="A675">
        <v>398</v>
      </c>
      <c r="B675" s="2">
        <v>8950</v>
      </c>
      <c r="C675" t="s">
        <v>4</v>
      </c>
      <c r="D675" s="3">
        <v>46270.754583333335</v>
      </c>
      <c r="E675" s="7">
        <f>CaseDataTable[[#This Row],[Время]]</f>
        <v>46270.754583333335</v>
      </c>
    </row>
    <row r="676" spans="1:5">
      <c r="A676">
        <v>350</v>
      </c>
      <c r="B676" s="2">
        <v>8450</v>
      </c>
      <c r="C676" t="s">
        <v>17</v>
      </c>
      <c r="D676" s="3">
        <v>46270.758969907409</v>
      </c>
      <c r="E676" s="7">
        <f>CaseDataTable[[#This Row],[Время]]</f>
        <v>46270.758969907409</v>
      </c>
    </row>
    <row r="677" spans="1:5">
      <c r="A677">
        <v>24</v>
      </c>
      <c r="B677" s="2">
        <v>8950</v>
      </c>
      <c r="C677" t="s">
        <v>4</v>
      </c>
      <c r="D677" s="3">
        <v>46270.766215277778</v>
      </c>
      <c r="E677" s="7">
        <f>CaseDataTable[[#This Row],[Время]]</f>
        <v>46270.766215277778</v>
      </c>
    </row>
    <row r="678" spans="1:5">
      <c r="A678">
        <v>553</v>
      </c>
      <c r="B678" s="2">
        <v>8950</v>
      </c>
      <c r="C678" t="s">
        <v>4</v>
      </c>
      <c r="D678" s="3">
        <v>46270.768912037034</v>
      </c>
      <c r="E678" s="7">
        <f>CaseDataTable[[#This Row],[Время]]</f>
        <v>46270.768912037034</v>
      </c>
    </row>
    <row r="679" spans="1:5">
      <c r="A679">
        <v>174</v>
      </c>
      <c r="B679" s="2">
        <v>7475</v>
      </c>
      <c r="C679" t="s">
        <v>4</v>
      </c>
      <c r="D679" s="3">
        <v>46270.778657407405</v>
      </c>
      <c r="E679" s="7">
        <f>CaseDataTable[[#This Row],[Время]]</f>
        <v>46270.778657407405</v>
      </c>
    </row>
    <row r="680" spans="1:5">
      <c r="A680">
        <v>174</v>
      </c>
      <c r="B680" s="2">
        <v>7475</v>
      </c>
      <c r="C680" t="s">
        <v>19</v>
      </c>
      <c r="D680" s="3">
        <v>46270.778657407405</v>
      </c>
      <c r="E680" s="7">
        <f>CaseDataTable[[#This Row],[Время]]</f>
        <v>46270.778657407405</v>
      </c>
    </row>
    <row r="681" spans="1:5">
      <c r="A681">
        <v>494</v>
      </c>
      <c r="B681" s="2">
        <v>8959</v>
      </c>
      <c r="C681" t="s">
        <v>19</v>
      </c>
      <c r="D681" s="3">
        <v>46270.802708333336</v>
      </c>
      <c r="E681" s="7">
        <f>CaseDataTable[[#This Row],[Время]]</f>
        <v>46270.802708333336</v>
      </c>
    </row>
    <row r="682" spans="1:5">
      <c r="A682">
        <v>377</v>
      </c>
      <c r="B682" s="2">
        <v>7475</v>
      </c>
      <c r="C682" t="s">
        <v>17</v>
      </c>
      <c r="D682" s="3">
        <v>46270.808472222219</v>
      </c>
      <c r="E682" s="7">
        <f>CaseDataTable[[#This Row],[Время]]</f>
        <v>46270.808472222219</v>
      </c>
    </row>
    <row r="683" spans="1:5">
      <c r="A683">
        <v>377</v>
      </c>
      <c r="B683" s="2">
        <v>7475</v>
      </c>
      <c r="C683" t="s">
        <v>5</v>
      </c>
      <c r="D683" s="3">
        <v>46270.808472222219</v>
      </c>
      <c r="E683" s="7">
        <f>CaseDataTable[[#This Row],[Время]]</f>
        <v>46270.808472222219</v>
      </c>
    </row>
    <row r="684" spans="1:5">
      <c r="A684">
        <v>60</v>
      </c>
      <c r="B684" s="2">
        <v>8950</v>
      </c>
      <c r="C684" t="s">
        <v>4</v>
      </c>
      <c r="D684" s="3">
        <v>46270.822604166664</v>
      </c>
      <c r="E684" s="7">
        <f>CaseDataTable[[#This Row],[Время]]</f>
        <v>46270.822604166664</v>
      </c>
    </row>
    <row r="685" spans="1:5">
      <c r="A685">
        <v>545</v>
      </c>
      <c r="B685" s="2">
        <v>8950</v>
      </c>
      <c r="C685" t="s">
        <v>4</v>
      </c>
      <c r="D685" s="3">
        <v>46270.823113425926</v>
      </c>
      <c r="E685" s="7">
        <f>CaseDataTable[[#This Row],[Время]]</f>
        <v>46270.823113425926</v>
      </c>
    </row>
    <row r="686" spans="1:5">
      <c r="A686">
        <v>147</v>
      </c>
      <c r="B686" s="2">
        <v>7475</v>
      </c>
      <c r="C686" t="s">
        <v>4</v>
      </c>
      <c r="D686" s="3">
        <v>46270.823622685188</v>
      </c>
      <c r="E686" s="7">
        <f>CaseDataTable[[#This Row],[Время]]</f>
        <v>46270.823622685188</v>
      </c>
    </row>
    <row r="687" spans="1:5">
      <c r="A687">
        <v>147</v>
      </c>
      <c r="B687" s="2">
        <v>7475</v>
      </c>
      <c r="C687" t="s">
        <v>11</v>
      </c>
      <c r="D687" s="3">
        <v>46270.823622685188</v>
      </c>
      <c r="E687" s="7">
        <f>CaseDataTable[[#This Row],[Время]]</f>
        <v>46270.823622685188</v>
      </c>
    </row>
    <row r="688" spans="1:5">
      <c r="A688">
        <v>416</v>
      </c>
      <c r="B688" s="2">
        <v>6975</v>
      </c>
      <c r="C688" t="s">
        <v>12</v>
      </c>
      <c r="D688" s="3">
        <v>46270.88857638889</v>
      </c>
      <c r="E688" s="7">
        <f>CaseDataTable[[#This Row],[Время]]</f>
        <v>46270.88857638889</v>
      </c>
    </row>
    <row r="689" spans="1:5">
      <c r="A689">
        <v>416</v>
      </c>
      <c r="B689" s="2">
        <v>6975</v>
      </c>
      <c r="C689" t="s">
        <v>4</v>
      </c>
      <c r="D689" s="3">
        <v>46270.88857638889</v>
      </c>
      <c r="E689" s="7">
        <f>CaseDataTable[[#This Row],[Время]]</f>
        <v>46270.88857638889</v>
      </c>
    </row>
    <row r="690" spans="1:5">
      <c r="A690">
        <v>188</v>
      </c>
      <c r="B690" s="2">
        <v>6975</v>
      </c>
      <c r="C690" t="s">
        <v>12</v>
      </c>
      <c r="D690" s="3">
        <v>46271.044247685182</v>
      </c>
      <c r="E690" s="7">
        <f>CaseDataTable[[#This Row],[Время]]</f>
        <v>46271.044247685182</v>
      </c>
    </row>
    <row r="691" spans="1:5">
      <c r="A691">
        <v>569</v>
      </c>
      <c r="B691" s="2">
        <v>8950</v>
      </c>
      <c r="C691" t="s">
        <v>12</v>
      </c>
      <c r="D691" s="3">
        <v>46271.333368055559</v>
      </c>
      <c r="E691" s="7">
        <f>CaseDataTable[[#This Row],[Время]]</f>
        <v>46271.333368055559</v>
      </c>
    </row>
    <row r="692" spans="1:5">
      <c r="A692">
        <v>74</v>
      </c>
      <c r="B692" s="2">
        <v>8450</v>
      </c>
      <c r="C692" t="s">
        <v>20</v>
      </c>
      <c r="D692" s="3">
        <v>46271.440601851849</v>
      </c>
      <c r="E692" s="7">
        <f>CaseDataTable[[#This Row],[Время]]</f>
        <v>46271.440601851849</v>
      </c>
    </row>
    <row r="693" spans="1:5">
      <c r="A693">
        <v>20</v>
      </c>
      <c r="B693" s="2">
        <v>7475</v>
      </c>
      <c r="C693" t="s">
        <v>17</v>
      </c>
      <c r="D693" s="3">
        <v>46271.463194444441</v>
      </c>
      <c r="E693" s="7">
        <f>CaseDataTable[[#This Row],[Время]]</f>
        <v>46271.463194444441</v>
      </c>
    </row>
    <row r="694" spans="1:5">
      <c r="A694">
        <v>20</v>
      </c>
      <c r="B694" s="2">
        <v>7475</v>
      </c>
      <c r="C694" t="s">
        <v>5</v>
      </c>
      <c r="D694" s="3">
        <v>46271.463194444441</v>
      </c>
      <c r="E694" s="7">
        <f>CaseDataTable[[#This Row],[Время]]</f>
        <v>46271.463194444441</v>
      </c>
    </row>
    <row r="695" spans="1:5">
      <c r="A695">
        <v>151</v>
      </c>
      <c r="B695" s="2">
        <v>7475</v>
      </c>
      <c r="C695" t="s">
        <v>17</v>
      </c>
      <c r="D695" s="3">
        <v>46271.479988425926</v>
      </c>
      <c r="E695" s="7">
        <f>CaseDataTable[[#This Row],[Время]]</f>
        <v>46271.479988425926</v>
      </c>
    </row>
    <row r="696" spans="1:5">
      <c r="A696">
        <v>42</v>
      </c>
      <c r="B696" s="2">
        <v>8450</v>
      </c>
      <c r="C696" t="s">
        <v>4</v>
      </c>
      <c r="D696" s="3">
        <v>46271.488032407404</v>
      </c>
      <c r="E696" s="7">
        <f>CaseDataTable[[#This Row],[Время]]</f>
        <v>46271.488032407404</v>
      </c>
    </row>
    <row r="697" spans="1:5">
      <c r="A697">
        <v>193</v>
      </c>
      <c r="B697" s="2">
        <v>8450</v>
      </c>
      <c r="C697" t="s">
        <v>20</v>
      </c>
      <c r="D697" s="3">
        <v>46271.492754629631</v>
      </c>
      <c r="E697" s="7">
        <f>CaseDataTable[[#This Row],[Время]]</f>
        <v>46271.492754629631</v>
      </c>
    </row>
    <row r="698" spans="1:5">
      <c r="A698">
        <v>105</v>
      </c>
      <c r="B698" s="2">
        <v>8950</v>
      </c>
      <c r="C698" t="s">
        <v>17</v>
      </c>
      <c r="D698" s="3">
        <v>46271.496782407405</v>
      </c>
      <c r="E698" s="7">
        <f>CaseDataTable[[#This Row],[Время]]</f>
        <v>46271.496782407405</v>
      </c>
    </row>
    <row r="699" spans="1:5">
      <c r="A699">
        <v>275</v>
      </c>
      <c r="B699" s="2">
        <v>6975</v>
      </c>
      <c r="C699" t="s">
        <v>20</v>
      </c>
      <c r="D699" s="3">
        <v>46271.499282407407</v>
      </c>
      <c r="E699" s="7">
        <f>CaseDataTable[[#This Row],[Время]]</f>
        <v>46271.499282407407</v>
      </c>
    </row>
    <row r="700" spans="1:5">
      <c r="A700">
        <v>275</v>
      </c>
      <c r="B700" s="2">
        <v>6975</v>
      </c>
      <c r="C700" t="s">
        <v>4</v>
      </c>
      <c r="D700" s="3">
        <v>46271.499282407407</v>
      </c>
      <c r="E700" s="7">
        <f>CaseDataTable[[#This Row],[Время]]</f>
        <v>46271.499282407407</v>
      </c>
    </row>
    <row r="701" spans="1:5">
      <c r="A701">
        <v>56</v>
      </c>
      <c r="B701" s="2">
        <v>7475</v>
      </c>
      <c r="C701" t="s">
        <v>10</v>
      </c>
      <c r="D701" s="3">
        <v>46271.508715277778</v>
      </c>
      <c r="E701" s="7">
        <f>CaseDataTable[[#This Row],[Время]]</f>
        <v>46271.508715277778</v>
      </c>
    </row>
    <row r="702" spans="1:5">
      <c r="A702">
        <v>44</v>
      </c>
      <c r="B702" s="2">
        <v>6975</v>
      </c>
      <c r="C702" t="s">
        <v>20</v>
      </c>
      <c r="D702" s="3">
        <v>46271.52034722222</v>
      </c>
      <c r="E702" s="7">
        <f>CaseDataTable[[#This Row],[Время]]</f>
        <v>46271.52034722222</v>
      </c>
    </row>
    <row r="703" spans="1:5">
      <c r="A703">
        <v>327</v>
      </c>
      <c r="B703" s="2">
        <v>8950</v>
      </c>
      <c r="C703" t="s">
        <v>20</v>
      </c>
      <c r="D703" s="3">
        <v>46271.531689814816</v>
      </c>
      <c r="E703" s="7">
        <f>CaseDataTable[[#This Row],[Время]]</f>
        <v>46271.531689814816</v>
      </c>
    </row>
    <row r="704" spans="1:5">
      <c r="A704">
        <v>292</v>
      </c>
      <c r="B704" s="2">
        <v>6975</v>
      </c>
      <c r="C704" t="s">
        <v>4</v>
      </c>
      <c r="D704" s="3">
        <v>46271.54142361111</v>
      </c>
      <c r="E704" s="7">
        <f>CaseDataTable[[#This Row],[Время]]</f>
        <v>46271.54142361111</v>
      </c>
    </row>
    <row r="705" spans="1:5">
      <c r="A705">
        <v>150</v>
      </c>
      <c r="B705" s="2">
        <v>8950</v>
      </c>
      <c r="C705" t="s">
        <v>12</v>
      </c>
      <c r="D705" s="3">
        <v>46271.549826388888</v>
      </c>
      <c r="E705" s="7">
        <f>CaseDataTable[[#This Row],[Время]]</f>
        <v>46271.549826388888</v>
      </c>
    </row>
    <row r="706" spans="1:5">
      <c r="A706">
        <v>59</v>
      </c>
      <c r="B706" s="2">
        <v>8950</v>
      </c>
      <c r="C706" t="s">
        <v>4</v>
      </c>
      <c r="D706" s="3">
        <v>46271.564131944448</v>
      </c>
      <c r="E706" s="7">
        <f>CaseDataTable[[#This Row],[Время]]</f>
        <v>46271.564131944448</v>
      </c>
    </row>
    <row r="707" spans="1:5">
      <c r="A707">
        <v>154</v>
      </c>
      <c r="B707" s="2">
        <v>8950</v>
      </c>
      <c r="C707" t="s">
        <v>19</v>
      </c>
      <c r="D707" s="3">
        <v>46271.569479166668</v>
      </c>
      <c r="E707" s="7">
        <f>CaseDataTable[[#This Row],[Время]]</f>
        <v>46271.569479166668</v>
      </c>
    </row>
    <row r="708" spans="1:5">
      <c r="A708">
        <v>472</v>
      </c>
      <c r="B708" s="2">
        <v>8950</v>
      </c>
      <c r="C708" t="s">
        <v>4</v>
      </c>
      <c r="D708" s="3">
        <v>46271.573055555556</v>
      </c>
      <c r="E708" s="7">
        <f>CaseDataTable[[#This Row],[Время]]</f>
        <v>46271.573055555556</v>
      </c>
    </row>
    <row r="709" spans="1:5">
      <c r="A709">
        <v>601</v>
      </c>
      <c r="B709" s="2">
        <v>6975</v>
      </c>
      <c r="C709" t="s">
        <v>17</v>
      </c>
      <c r="D709" s="3">
        <v>46271.603159722225</v>
      </c>
      <c r="E709" s="7">
        <f>CaseDataTable[[#This Row],[Время]]</f>
        <v>46271.603159722225</v>
      </c>
    </row>
    <row r="710" spans="1:5">
      <c r="A710">
        <v>601</v>
      </c>
      <c r="B710" s="2">
        <v>6975</v>
      </c>
      <c r="C710" t="s">
        <v>5</v>
      </c>
      <c r="D710" s="3">
        <v>46271.603159722225</v>
      </c>
      <c r="E710" s="7">
        <f>CaseDataTable[[#This Row],[Время]]</f>
        <v>46271.603159722225</v>
      </c>
    </row>
    <row r="711" spans="1:5">
      <c r="A711">
        <v>22</v>
      </c>
      <c r="B711" s="2">
        <v>8450</v>
      </c>
      <c r="C711" t="s">
        <v>4</v>
      </c>
      <c r="D711" s="3">
        <v>46271.612453703703</v>
      </c>
      <c r="E711" s="7">
        <f>CaseDataTable[[#This Row],[Время]]</f>
        <v>46271.612453703703</v>
      </c>
    </row>
    <row r="712" spans="1:5">
      <c r="A712">
        <v>344</v>
      </c>
      <c r="B712" s="2">
        <v>8950</v>
      </c>
      <c r="C712" t="s">
        <v>20</v>
      </c>
      <c r="D712" s="3">
        <v>46271.617268518516</v>
      </c>
      <c r="E712" s="7">
        <f>CaseDataTable[[#This Row],[Время]]</f>
        <v>46271.617268518516</v>
      </c>
    </row>
    <row r="713" spans="1:5">
      <c r="A713">
        <v>49</v>
      </c>
      <c r="B713" s="2">
        <v>7475</v>
      </c>
      <c r="C713" t="s">
        <v>20</v>
      </c>
      <c r="D713" s="3">
        <v>46271.618773148148</v>
      </c>
      <c r="E713" s="7">
        <f>CaseDataTable[[#This Row],[Время]]</f>
        <v>46271.618773148148</v>
      </c>
    </row>
    <row r="714" spans="1:5">
      <c r="A714">
        <v>49</v>
      </c>
      <c r="B714" s="2">
        <v>7475</v>
      </c>
      <c r="C714" t="s">
        <v>12</v>
      </c>
      <c r="D714" s="3">
        <v>46271.618773148148</v>
      </c>
      <c r="E714" s="7">
        <f>CaseDataTable[[#This Row],[Время]]</f>
        <v>46271.618773148148</v>
      </c>
    </row>
    <row r="715" spans="1:5">
      <c r="A715">
        <v>113</v>
      </c>
      <c r="B715" s="2">
        <v>8950</v>
      </c>
      <c r="C715" t="s">
        <v>17</v>
      </c>
      <c r="D715" s="3">
        <v>46271.635381944441</v>
      </c>
      <c r="E715" s="7">
        <f>CaseDataTable[[#This Row],[Время]]</f>
        <v>46271.635381944441</v>
      </c>
    </row>
    <row r="716" spans="1:5">
      <c r="A716">
        <v>366</v>
      </c>
      <c r="B716" s="2">
        <v>2237.5</v>
      </c>
      <c r="C716" t="s">
        <v>20</v>
      </c>
      <c r="D716" s="3">
        <v>46271.637928240743</v>
      </c>
      <c r="E716" s="7">
        <f>CaseDataTable[[#This Row],[Время]]</f>
        <v>46271.637928240743</v>
      </c>
    </row>
    <row r="717" spans="1:5">
      <c r="A717">
        <v>366</v>
      </c>
      <c r="B717" s="2">
        <v>2237.5</v>
      </c>
      <c r="C717" t="s">
        <v>4</v>
      </c>
      <c r="D717" s="3">
        <v>46271.637928240743</v>
      </c>
      <c r="E717" s="7">
        <f>CaseDataTable[[#This Row],[Время]]</f>
        <v>46271.637928240743</v>
      </c>
    </row>
    <row r="718" spans="1:5">
      <c r="A718">
        <v>366</v>
      </c>
      <c r="B718" s="2">
        <v>2237.5</v>
      </c>
      <c r="C718" t="s">
        <v>11</v>
      </c>
      <c r="D718" s="3">
        <v>46271.637928240743</v>
      </c>
      <c r="E718" s="7">
        <f>CaseDataTable[[#This Row],[Время]]</f>
        <v>46271.637928240743</v>
      </c>
    </row>
    <row r="719" spans="1:5">
      <c r="A719">
        <v>366</v>
      </c>
      <c r="B719" s="2">
        <v>2237.5</v>
      </c>
      <c r="C719" t="s">
        <v>15</v>
      </c>
      <c r="D719" s="3">
        <v>46271.637928240743</v>
      </c>
      <c r="E719" s="7">
        <f>CaseDataTable[[#This Row],[Время]]</f>
        <v>46271.637928240743</v>
      </c>
    </row>
    <row r="720" spans="1:5">
      <c r="A720">
        <v>434</v>
      </c>
      <c r="B720" s="2">
        <v>8450</v>
      </c>
      <c r="C720" t="s">
        <v>12</v>
      </c>
      <c r="D720" s="3">
        <v>46271.641192129631</v>
      </c>
      <c r="E720" s="7">
        <f>CaseDataTable[[#This Row],[Время]]</f>
        <v>46271.641192129631</v>
      </c>
    </row>
    <row r="721" spans="1:5">
      <c r="A721">
        <v>55</v>
      </c>
      <c r="B721" s="2">
        <v>2237.5</v>
      </c>
      <c r="C721" t="s">
        <v>20</v>
      </c>
      <c r="D721" s="3">
        <v>46271.649456018517</v>
      </c>
      <c r="E721" s="7">
        <f>CaseDataTable[[#This Row],[Время]]</f>
        <v>46271.649456018517</v>
      </c>
    </row>
    <row r="722" spans="1:5">
      <c r="A722">
        <v>23</v>
      </c>
      <c r="B722" s="2">
        <v>2237.5</v>
      </c>
      <c r="C722" t="s">
        <v>11</v>
      </c>
      <c r="D722" s="3">
        <v>46271.652592592596</v>
      </c>
      <c r="E722" s="7">
        <f>CaseDataTable[[#This Row],[Время]]</f>
        <v>46271.652592592596</v>
      </c>
    </row>
    <row r="723" spans="1:5">
      <c r="A723">
        <v>51</v>
      </c>
      <c r="B723" s="2">
        <v>2237.5</v>
      </c>
      <c r="C723" t="s">
        <v>4</v>
      </c>
      <c r="D723" s="3">
        <v>46271.657222222224</v>
      </c>
      <c r="E723" s="7">
        <f>CaseDataTable[[#This Row],[Время]]</f>
        <v>46271.657222222224</v>
      </c>
    </row>
    <row r="724" spans="1:5">
      <c r="A724">
        <v>261</v>
      </c>
      <c r="B724" s="2">
        <v>8950</v>
      </c>
      <c r="C724" t="s">
        <v>20</v>
      </c>
      <c r="D724" s="3">
        <v>46271.67087962963</v>
      </c>
      <c r="E724" s="7">
        <f>CaseDataTable[[#This Row],[Время]]</f>
        <v>46271.67087962963</v>
      </c>
    </row>
    <row r="725" spans="1:5">
      <c r="A725">
        <v>306</v>
      </c>
      <c r="B725" s="2">
        <v>8950</v>
      </c>
      <c r="C725" t="s">
        <v>11</v>
      </c>
      <c r="D725" s="3">
        <v>46271.679849537039</v>
      </c>
      <c r="E725" s="7">
        <f>CaseDataTable[[#This Row],[Время]]</f>
        <v>46271.679849537039</v>
      </c>
    </row>
    <row r="726" spans="1:5">
      <c r="A726">
        <v>180</v>
      </c>
      <c r="B726" s="2">
        <v>2237.5</v>
      </c>
      <c r="C726" t="s">
        <v>15</v>
      </c>
      <c r="D726" s="3">
        <v>46271.682986111111</v>
      </c>
      <c r="E726" s="7">
        <f>CaseDataTable[[#This Row],[Время]]</f>
        <v>46271.682986111111</v>
      </c>
    </row>
    <row r="727" spans="1:5">
      <c r="A727">
        <v>10</v>
      </c>
      <c r="B727" s="2">
        <v>8450</v>
      </c>
      <c r="C727" t="s">
        <v>12</v>
      </c>
      <c r="D727" s="3">
        <v>46271.68445601852</v>
      </c>
      <c r="E727" s="7">
        <f>CaseDataTable[[#This Row],[Время]]</f>
        <v>46271.68445601852</v>
      </c>
    </row>
    <row r="728" spans="1:5">
      <c r="A728">
        <v>310</v>
      </c>
      <c r="B728" s="2">
        <v>7475</v>
      </c>
      <c r="C728" t="s">
        <v>20</v>
      </c>
      <c r="D728" s="3">
        <v>46271.693078703705</v>
      </c>
      <c r="E728" s="7">
        <f>CaseDataTable[[#This Row],[Время]]</f>
        <v>46271.693078703705</v>
      </c>
    </row>
    <row r="729" spans="1:5">
      <c r="A729">
        <v>310</v>
      </c>
      <c r="B729" s="2">
        <v>7475</v>
      </c>
      <c r="C729" t="s">
        <v>4</v>
      </c>
      <c r="D729" s="3">
        <v>46271.693078703705</v>
      </c>
      <c r="E729" s="7">
        <f>CaseDataTable[[#This Row],[Время]]</f>
        <v>46271.693078703705</v>
      </c>
    </row>
    <row r="730" spans="1:5">
      <c r="A730">
        <v>528</v>
      </c>
      <c r="B730" s="2">
        <v>8950</v>
      </c>
      <c r="C730" t="s">
        <v>4</v>
      </c>
      <c r="D730" s="3">
        <v>46271.704398148147</v>
      </c>
      <c r="E730" s="7">
        <f>CaseDataTable[[#This Row],[Время]]</f>
        <v>46271.704398148147</v>
      </c>
    </row>
    <row r="731" spans="1:5">
      <c r="A731">
        <v>97</v>
      </c>
      <c r="B731" s="2">
        <v>8950</v>
      </c>
      <c r="C731" t="s">
        <v>12</v>
      </c>
      <c r="D731" s="3">
        <v>46271.727719907409</v>
      </c>
      <c r="E731" s="7">
        <f>CaseDataTable[[#This Row],[Время]]</f>
        <v>46271.727719907409</v>
      </c>
    </row>
    <row r="732" spans="1:5">
      <c r="A732">
        <v>449</v>
      </c>
      <c r="B732" s="2">
        <v>8950</v>
      </c>
      <c r="C732" t="s">
        <v>15</v>
      </c>
      <c r="D732" s="3">
        <v>46271.728055555555</v>
      </c>
      <c r="E732" s="7">
        <f>CaseDataTable[[#This Row],[Время]]</f>
        <v>46271.728055555555</v>
      </c>
    </row>
    <row r="733" spans="1:5">
      <c r="A733">
        <v>278</v>
      </c>
      <c r="B733" s="2">
        <v>7475</v>
      </c>
      <c r="C733" t="s">
        <v>17</v>
      </c>
      <c r="D733" s="3">
        <v>46271.729930555557</v>
      </c>
      <c r="E733" s="7">
        <f>CaseDataTable[[#This Row],[Время]]</f>
        <v>46271.729930555557</v>
      </c>
    </row>
    <row r="734" spans="1:5">
      <c r="A734">
        <v>278</v>
      </c>
      <c r="B734" s="2">
        <v>7475</v>
      </c>
      <c r="C734" t="s">
        <v>5</v>
      </c>
      <c r="D734" s="3">
        <v>46271.729930555557</v>
      </c>
      <c r="E734" s="7">
        <f>CaseDataTable[[#This Row],[Время]]</f>
        <v>46271.729930555557</v>
      </c>
    </row>
    <row r="735" spans="1:5">
      <c r="A735">
        <v>300</v>
      </c>
      <c r="B735" s="2">
        <v>6950</v>
      </c>
      <c r="C735" t="s">
        <v>9</v>
      </c>
      <c r="D735" s="3">
        <v>46271.748611111114</v>
      </c>
      <c r="E735" s="7">
        <f>CaseDataTable[[#This Row],[Время]]</f>
        <v>46271.748611111114</v>
      </c>
    </row>
    <row r="736" spans="1:5">
      <c r="A736">
        <v>251</v>
      </c>
      <c r="B736" s="2">
        <v>9950</v>
      </c>
      <c r="C736" t="s">
        <v>7</v>
      </c>
      <c r="D736" s="3">
        <v>46271.753993055558</v>
      </c>
      <c r="E736" s="7">
        <f>CaseDataTable[[#This Row],[Время]]</f>
        <v>46271.753993055558</v>
      </c>
    </row>
    <row r="737" spans="1:5">
      <c r="A737">
        <v>347</v>
      </c>
      <c r="B737" s="2">
        <v>7475</v>
      </c>
      <c r="C737" t="s">
        <v>17</v>
      </c>
      <c r="D737" s="3">
        <v>46271.774398148147</v>
      </c>
      <c r="E737" s="7">
        <f>CaseDataTable[[#This Row],[Время]]</f>
        <v>46271.774398148147</v>
      </c>
    </row>
    <row r="738" spans="1:5">
      <c r="A738">
        <v>359</v>
      </c>
      <c r="B738" s="2">
        <v>7475</v>
      </c>
      <c r="C738" t="s">
        <v>5</v>
      </c>
      <c r="D738" s="3">
        <v>46271.77815972222</v>
      </c>
      <c r="E738" s="7">
        <f>CaseDataTable[[#This Row],[Время]]</f>
        <v>46271.77815972222</v>
      </c>
    </row>
    <row r="739" spans="1:5">
      <c r="A739">
        <v>399</v>
      </c>
      <c r="B739" s="2">
        <v>8950</v>
      </c>
      <c r="C739" t="s">
        <v>4</v>
      </c>
      <c r="D739" s="3">
        <v>46271.793437499997</v>
      </c>
      <c r="E739" s="7">
        <f>CaseDataTable[[#This Row],[Время]]</f>
        <v>46271.793437499997</v>
      </c>
    </row>
    <row r="740" spans="1:5">
      <c r="A740">
        <v>530</v>
      </c>
      <c r="B740" s="2">
        <v>8950</v>
      </c>
      <c r="C740" t="s">
        <v>17</v>
      </c>
      <c r="D740" s="3">
        <v>46271.798356481479</v>
      </c>
      <c r="E740" s="7">
        <f>CaseDataTable[[#This Row],[Время]]</f>
        <v>46271.798356481479</v>
      </c>
    </row>
    <row r="741" spans="1:5">
      <c r="A741">
        <v>396</v>
      </c>
      <c r="B741" s="2">
        <v>9950</v>
      </c>
      <c r="C741" t="s">
        <v>7</v>
      </c>
      <c r="D741" s="3">
        <v>46271.802511574075</v>
      </c>
      <c r="E741" s="7">
        <f>CaseDataTable[[#This Row],[Время]]</f>
        <v>46271.802511574075</v>
      </c>
    </row>
    <row r="742" spans="1:5">
      <c r="A742">
        <v>604</v>
      </c>
      <c r="B742" s="2">
        <v>8950</v>
      </c>
      <c r="C742" t="s">
        <v>5</v>
      </c>
      <c r="D742" s="3">
        <v>46271.804131944446</v>
      </c>
      <c r="E742" s="7">
        <f>CaseDataTable[[#This Row],[Время]]</f>
        <v>46271.804131944446</v>
      </c>
    </row>
    <row r="743" spans="1:5">
      <c r="A743">
        <v>593</v>
      </c>
      <c r="B743" s="2">
        <v>9950</v>
      </c>
      <c r="C743" t="s">
        <v>7</v>
      </c>
      <c r="D743" s="3">
        <v>46271.828645833331</v>
      </c>
      <c r="E743" s="7">
        <f>CaseDataTable[[#This Row],[Время]]</f>
        <v>46271.828645833331</v>
      </c>
    </row>
    <row r="744" spans="1:5">
      <c r="A744">
        <v>454</v>
      </c>
      <c r="B744" s="2">
        <v>8950</v>
      </c>
      <c r="C744" t="s">
        <v>4</v>
      </c>
      <c r="D744" s="3">
        <v>46272.189884259256</v>
      </c>
      <c r="E744" s="7">
        <f>CaseDataTable[[#This Row],[Время]]</f>
        <v>46272.189884259256</v>
      </c>
    </row>
    <row r="745" spans="1:5">
      <c r="A745">
        <v>63</v>
      </c>
      <c r="B745" s="2">
        <v>8950</v>
      </c>
      <c r="C745" t="s">
        <v>19</v>
      </c>
      <c r="D745" s="3">
        <v>46272.225659722222</v>
      </c>
      <c r="E745" s="7">
        <f>CaseDataTable[[#This Row],[Время]]</f>
        <v>46272.225659722222</v>
      </c>
    </row>
    <row r="746" spans="1:5">
      <c r="A746">
        <v>228</v>
      </c>
      <c r="B746" s="2">
        <v>8950</v>
      </c>
      <c r="C746" t="s">
        <v>20</v>
      </c>
      <c r="D746" s="3">
        <v>46272.321238425924</v>
      </c>
      <c r="E746" s="7">
        <f>CaseDataTable[[#This Row],[Время]]</f>
        <v>46272.321238425924</v>
      </c>
    </row>
    <row r="747" spans="1:5">
      <c r="A747">
        <v>13</v>
      </c>
      <c r="B747" s="2">
        <v>8950</v>
      </c>
      <c r="C747" t="s">
        <v>20</v>
      </c>
      <c r="D747" s="3">
        <v>46272.329444444447</v>
      </c>
      <c r="E747" s="7">
        <f>CaseDataTable[[#This Row],[Время]]</f>
        <v>46272.329444444447</v>
      </c>
    </row>
    <row r="748" spans="1:5">
      <c r="A748">
        <v>465</v>
      </c>
      <c r="B748" s="2">
        <v>4225</v>
      </c>
      <c r="C748" t="s">
        <v>16</v>
      </c>
      <c r="D748" s="3">
        <v>46272.348182870373</v>
      </c>
      <c r="E748" s="7">
        <f>CaseDataTable[[#This Row],[Время]]</f>
        <v>46272.348182870373</v>
      </c>
    </row>
    <row r="749" spans="1:5">
      <c r="A749">
        <v>125</v>
      </c>
      <c r="B749" s="2">
        <v>8950</v>
      </c>
      <c r="C749" t="s">
        <v>4</v>
      </c>
      <c r="D749" s="3">
        <v>46272.365706018521</v>
      </c>
      <c r="E749" s="7">
        <f>CaseDataTable[[#This Row],[Время]]</f>
        <v>46272.365706018521</v>
      </c>
    </row>
    <row r="750" spans="1:5">
      <c r="A750">
        <v>491</v>
      </c>
      <c r="B750" s="2">
        <v>8950</v>
      </c>
      <c r="C750" t="s">
        <v>17</v>
      </c>
      <c r="D750" s="3">
        <v>46272.37840277778</v>
      </c>
      <c r="E750" s="7">
        <f>CaseDataTable[[#This Row],[Время]]</f>
        <v>46272.37840277778</v>
      </c>
    </row>
    <row r="751" spans="1:5">
      <c r="A751">
        <v>100</v>
      </c>
      <c r="B751" s="2">
        <v>8950</v>
      </c>
      <c r="C751" t="s">
        <v>10</v>
      </c>
      <c r="D751" s="3">
        <v>46272.396319444444</v>
      </c>
      <c r="E751" s="7">
        <f>CaseDataTable[[#This Row],[Время]]</f>
        <v>46272.396319444444</v>
      </c>
    </row>
    <row r="752" spans="1:5">
      <c r="A752">
        <v>110</v>
      </c>
      <c r="B752" s="2">
        <v>8950</v>
      </c>
      <c r="C752" t="s">
        <v>20</v>
      </c>
      <c r="D752" s="3">
        <v>46272.435486111113</v>
      </c>
      <c r="E752" s="7">
        <f>CaseDataTable[[#This Row],[Время]]</f>
        <v>46272.435486111113</v>
      </c>
    </row>
    <row r="753" spans="1:5">
      <c r="A753">
        <v>119</v>
      </c>
      <c r="B753" s="2">
        <v>8950</v>
      </c>
      <c r="C753" t="s">
        <v>19</v>
      </c>
      <c r="D753" s="3">
        <v>46272.482361111113</v>
      </c>
      <c r="E753" s="7">
        <f>CaseDataTable[[#This Row],[Время]]</f>
        <v>46272.482361111113</v>
      </c>
    </row>
    <row r="754" spans="1:5">
      <c r="A754">
        <v>102</v>
      </c>
      <c r="B754" s="2">
        <v>6475</v>
      </c>
      <c r="C754" t="s">
        <v>20</v>
      </c>
      <c r="D754" s="3">
        <v>46272.541527777779</v>
      </c>
      <c r="E754" s="7">
        <f>CaseDataTable[[#This Row],[Время]]</f>
        <v>46272.541527777779</v>
      </c>
    </row>
    <row r="755" spans="1:5">
      <c r="A755">
        <v>102</v>
      </c>
      <c r="B755" s="2">
        <v>6475</v>
      </c>
      <c r="C755" t="s">
        <v>4</v>
      </c>
      <c r="D755" s="3">
        <v>46272.541527777779</v>
      </c>
      <c r="E755" s="7">
        <f>CaseDataTable[[#This Row],[Время]]</f>
        <v>46272.541527777779</v>
      </c>
    </row>
    <row r="756" spans="1:5">
      <c r="A756">
        <v>204</v>
      </c>
      <c r="B756" s="2">
        <v>8950</v>
      </c>
      <c r="C756" t="s">
        <v>4</v>
      </c>
      <c r="D756" s="3">
        <v>46272.56890046296</v>
      </c>
      <c r="E756" s="7">
        <f>CaseDataTable[[#This Row],[Время]]</f>
        <v>46272.56890046296</v>
      </c>
    </row>
    <row r="757" spans="1:5">
      <c r="A757">
        <v>214</v>
      </c>
      <c r="B757" s="2">
        <v>8950</v>
      </c>
      <c r="C757" t="s">
        <v>20</v>
      </c>
      <c r="D757" s="3">
        <v>46272.585300925923</v>
      </c>
      <c r="E757" s="7">
        <f>CaseDataTable[[#This Row],[Время]]</f>
        <v>46272.585300925923</v>
      </c>
    </row>
    <row r="758" spans="1:5">
      <c r="A758">
        <v>254</v>
      </c>
      <c r="B758" s="2">
        <v>7475</v>
      </c>
      <c r="C758" t="s">
        <v>19</v>
      </c>
      <c r="D758" s="3">
        <v>46272.62059027778</v>
      </c>
      <c r="E758" s="7">
        <f>CaseDataTable[[#This Row],[Время]]</f>
        <v>46272.62059027778</v>
      </c>
    </row>
    <row r="759" spans="1:5">
      <c r="A759">
        <v>254</v>
      </c>
      <c r="B759" s="2">
        <v>7475</v>
      </c>
      <c r="C759" t="s">
        <v>15</v>
      </c>
      <c r="D759" s="3">
        <v>46272.62059027778</v>
      </c>
      <c r="E759" s="7">
        <f>CaseDataTable[[#This Row],[Время]]</f>
        <v>46272.62059027778</v>
      </c>
    </row>
    <row r="760" spans="1:5">
      <c r="A760">
        <v>246</v>
      </c>
      <c r="B760" s="2">
        <v>9950</v>
      </c>
      <c r="C760" t="s">
        <v>7</v>
      </c>
      <c r="D760" s="3">
        <v>46272.698553240742</v>
      </c>
      <c r="E760" s="7">
        <f>CaseDataTable[[#This Row],[Время]]</f>
        <v>46272.698553240742</v>
      </c>
    </row>
    <row r="761" spans="1:5">
      <c r="A761">
        <v>509</v>
      </c>
      <c r="B761" s="2">
        <v>18900</v>
      </c>
      <c r="C761" t="s">
        <v>14</v>
      </c>
      <c r="D761" s="3">
        <v>46272.70244212963</v>
      </c>
      <c r="E761" s="7">
        <f>CaseDataTable[[#This Row],[Время]]</f>
        <v>46272.70244212963</v>
      </c>
    </row>
    <row r="762" spans="1:5">
      <c r="A762">
        <v>72</v>
      </c>
      <c r="B762" s="2">
        <v>6975</v>
      </c>
      <c r="C762" t="s">
        <v>20</v>
      </c>
      <c r="D762" s="3">
        <v>46272.805532407408</v>
      </c>
      <c r="E762" s="7">
        <f>CaseDataTable[[#This Row],[Время]]</f>
        <v>46272.805532407408</v>
      </c>
    </row>
    <row r="763" spans="1:5">
      <c r="A763">
        <v>72</v>
      </c>
      <c r="B763" s="2">
        <v>6975</v>
      </c>
      <c r="C763" t="s">
        <v>4</v>
      </c>
      <c r="D763" s="3">
        <v>46272.805532407408</v>
      </c>
      <c r="E763" s="7">
        <f>CaseDataTable[[#This Row],[Время]]</f>
        <v>46272.805532407408</v>
      </c>
    </row>
    <row r="764" spans="1:5">
      <c r="A764">
        <v>78</v>
      </c>
      <c r="B764" s="2">
        <v>6950</v>
      </c>
      <c r="C764" t="s">
        <v>9</v>
      </c>
      <c r="D764" s="3">
        <v>46273.215624999997</v>
      </c>
      <c r="E764" s="7">
        <f>CaseDataTable[[#This Row],[Время]]</f>
        <v>46273.215624999997</v>
      </c>
    </row>
    <row r="765" spans="1:5">
      <c r="A765">
        <v>548</v>
      </c>
      <c r="B765" s="2">
        <v>6975</v>
      </c>
      <c r="C765" t="s">
        <v>20</v>
      </c>
      <c r="D765" s="3">
        <v>46273.53162037037</v>
      </c>
      <c r="E765" s="7">
        <f>CaseDataTable[[#This Row],[Время]]</f>
        <v>46273.53162037037</v>
      </c>
    </row>
    <row r="766" spans="1:5">
      <c r="A766">
        <v>548</v>
      </c>
      <c r="B766" s="2">
        <v>6975</v>
      </c>
      <c r="C766" t="s">
        <v>4</v>
      </c>
      <c r="D766" s="3">
        <v>46273.53162037037</v>
      </c>
      <c r="E766" s="7">
        <f>CaseDataTable[[#This Row],[Время]]</f>
        <v>46273.53162037037</v>
      </c>
    </row>
    <row r="767" spans="1:5">
      <c r="A767">
        <v>429</v>
      </c>
      <c r="B767" s="2">
        <v>9950</v>
      </c>
      <c r="C767" t="s">
        <v>7</v>
      </c>
      <c r="D767" s="3">
        <v>46273.54451388889</v>
      </c>
      <c r="E767" s="7">
        <f>CaseDataTable[[#This Row],[Время]]</f>
        <v>46273.54451388889</v>
      </c>
    </row>
    <row r="768" spans="1:5">
      <c r="A768">
        <v>499</v>
      </c>
      <c r="B768" s="2">
        <v>8950</v>
      </c>
      <c r="C768" t="s">
        <v>17</v>
      </c>
      <c r="D768" s="3">
        <v>46273.55872685185</v>
      </c>
      <c r="E768" s="7">
        <f>CaseDataTable[[#This Row],[Время]]</f>
        <v>46273.55872685185</v>
      </c>
    </row>
    <row r="769" spans="1:5">
      <c r="A769">
        <v>68</v>
      </c>
      <c r="B769" s="2">
        <v>7500</v>
      </c>
      <c r="C769" t="s">
        <v>19</v>
      </c>
      <c r="D769" s="3">
        <v>46273.74527777778</v>
      </c>
      <c r="E769" s="7">
        <f>CaseDataTable[[#This Row],[Время]]</f>
        <v>46273.74527777778</v>
      </c>
    </row>
    <row r="770" spans="1:5">
      <c r="A770">
        <v>68</v>
      </c>
      <c r="B770" s="2">
        <v>7500</v>
      </c>
      <c r="C770" t="s">
        <v>15</v>
      </c>
      <c r="D770" s="3">
        <v>46273.74527777778</v>
      </c>
      <c r="E770" s="7">
        <f>CaseDataTable[[#This Row],[Время]]</f>
        <v>46273.74527777778</v>
      </c>
    </row>
    <row r="771" spans="1:5">
      <c r="A771">
        <v>456</v>
      </c>
      <c r="B771" s="2">
        <v>9950</v>
      </c>
      <c r="C771" t="s">
        <v>7</v>
      </c>
      <c r="D771" s="3">
        <v>46273.748402777775</v>
      </c>
      <c r="E771" s="7">
        <f>CaseDataTable[[#This Row],[Время]]</f>
        <v>46273.748402777775</v>
      </c>
    </row>
    <row r="772" spans="1:5">
      <c r="A772">
        <v>190</v>
      </c>
      <c r="B772" s="2">
        <v>9950</v>
      </c>
      <c r="C772" t="s">
        <v>7</v>
      </c>
      <c r="D772" s="3">
        <v>46274.119942129626</v>
      </c>
      <c r="E772" s="7">
        <f>CaseDataTable[[#This Row],[Время]]</f>
        <v>46274.119942129626</v>
      </c>
    </row>
    <row r="773" spans="1:5">
      <c r="A773">
        <v>80</v>
      </c>
      <c r="B773" s="2">
        <v>6975</v>
      </c>
      <c r="C773" t="s">
        <v>4</v>
      </c>
      <c r="D773" s="3">
        <v>46274.203564814816</v>
      </c>
      <c r="E773" s="7">
        <f>CaseDataTable[[#This Row],[Время]]</f>
        <v>46274.203564814816</v>
      </c>
    </row>
    <row r="774" spans="1:5">
      <c r="A774">
        <v>108</v>
      </c>
      <c r="B774" s="2">
        <v>6975</v>
      </c>
      <c r="C774" t="s">
        <v>20</v>
      </c>
      <c r="D774" s="3">
        <v>46274.203564814816</v>
      </c>
      <c r="E774" s="7">
        <f>CaseDataTable[[#This Row],[Время]]</f>
        <v>46274.203564814816</v>
      </c>
    </row>
    <row r="775" spans="1:5">
      <c r="A775">
        <v>358</v>
      </c>
      <c r="B775" s="2">
        <v>8450</v>
      </c>
      <c r="C775" t="s">
        <v>17</v>
      </c>
      <c r="D775" s="3">
        <v>46274.271215277775</v>
      </c>
      <c r="E775" s="7">
        <f>CaseDataTable[[#This Row],[Время]]</f>
        <v>46274.271215277775</v>
      </c>
    </row>
    <row r="776" spans="1:5">
      <c r="A776">
        <v>224</v>
      </c>
      <c r="B776" s="2">
        <v>8450</v>
      </c>
      <c r="C776" t="s">
        <v>17</v>
      </c>
      <c r="D776" s="3">
        <v>46274.371851851851</v>
      </c>
      <c r="E776" s="7">
        <f>CaseDataTable[[#This Row],[Время]]</f>
        <v>46274.371851851851</v>
      </c>
    </row>
    <row r="777" spans="1:5">
      <c r="A777">
        <v>438</v>
      </c>
      <c r="B777" s="2">
        <v>8950</v>
      </c>
      <c r="C777" t="s">
        <v>17</v>
      </c>
      <c r="D777" s="3">
        <v>46274.558761574073</v>
      </c>
      <c r="E777" s="7">
        <f>CaseDataTable[[#This Row],[Время]]</f>
        <v>46274.558761574073</v>
      </c>
    </row>
    <row r="778" spans="1:5">
      <c r="A778">
        <v>283</v>
      </c>
      <c r="B778" s="2">
        <v>7475</v>
      </c>
      <c r="C778" t="s">
        <v>20</v>
      </c>
      <c r="D778" s="3">
        <v>46274.565381944441</v>
      </c>
      <c r="E778" s="7">
        <f>CaseDataTable[[#This Row],[Время]]</f>
        <v>46274.565381944441</v>
      </c>
    </row>
    <row r="779" spans="1:5">
      <c r="A779">
        <v>283</v>
      </c>
      <c r="B779" s="2">
        <v>7475</v>
      </c>
      <c r="C779" t="s">
        <v>4</v>
      </c>
      <c r="D779" s="3">
        <v>46274.565381944441</v>
      </c>
      <c r="E779" s="7">
        <f>CaseDataTable[[#This Row],[Время]]</f>
        <v>46274.565381944441</v>
      </c>
    </row>
    <row r="780" spans="1:5">
      <c r="A780">
        <v>381</v>
      </c>
      <c r="B780" s="2">
        <v>8950</v>
      </c>
      <c r="C780" t="s">
        <v>5</v>
      </c>
      <c r="D780" s="3">
        <v>46274.61577546296</v>
      </c>
      <c r="E780" s="7">
        <f>CaseDataTable[[#This Row],[Время]]</f>
        <v>46274.61577546296</v>
      </c>
    </row>
    <row r="781" spans="1:5">
      <c r="A781">
        <v>212</v>
      </c>
      <c r="B781" s="2">
        <v>7475</v>
      </c>
      <c r="C781" t="s">
        <v>19</v>
      </c>
      <c r="D781" s="3">
        <v>46274.627592592595</v>
      </c>
      <c r="E781" s="7">
        <f>CaseDataTable[[#This Row],[Время]]</f>
        <v>46274.627592592595</v>
      </c>
    </row>
    <row r="782" spans="1:5">
      <c r="A782">
        <v>212</v>
      </c>
      <c r="B782" s="2">
        <v>7475</v>
      </c>
      <c r="C782" t="s">
        <v>15</v>
      </c>
      <c r="D782" s="3">
        <v>46274.627592592595</v>
      </c>
      <c r="E782" s="7">
        <f>CaseDataTable[[#This Row],[Время]]</f>
        <v>46274.627592592595</v>
      </c>
    </row>
    <row r="783" spans="1:5">
      <c r="A783">
        <v>567</v>
      </c>
      <c r="B783" s="2">
        <v>7475</v>
      </c>
      <c r="C783" t="s">
        <v>20</v>
      </c>
      <c r="D783" s="3">
        <v>46274.629467592589</v>
      </c>
      <c r="E783" s="7">
        <f>CaseDataTable[[#This Row],[Время]]</f>
        <v>46274.629467592589</v>
      </c>
    </row>
    <row r="784" spans="1:5">
      <c r="A784">
        <v>567</v>
      </c>
      <c r="B784" s="2">
        <v>7475</v>
      </c>
      <c r="C784" t="s">
        <v>19</v>
      </c>
      <c r="D784" s="3">
        <v>46274.629467592589</v>
      </c>
      <c r="E784" s="7">
        <f>CaseDataTable[[#This Row],[Время]]</f>
        <v>46274.629467592589</v>
      </c>
    </row>
    <row r="785" spans="1:5">
      <c r="A785">
        <v>337</v>
      </c>
      <c r="B785" s="2">
        <v>7475</v>
      </c>
      <c r="C785" t="s">
        <v>19</v>
      </c>
      <c r="D785" s="3">
        <v>46274.653692129628</v>
      </c>
      <c r="E785" s="7">
        <f>CaseDataTable[[#This Row],[Время]]</f>
        <v>46274.653692129628</v>
      </c>
    </row>
    <row r="786" spans="1:5">
      <c r="A786">
        <v>349</v>
      </c>
      <c r="B786" s="2">
        <v>7475</v>
      </c>
      <c r="C786" t="s">
        <v>15</v>
      </c>
      <c r="D786" s="3">
        <v>46274.673796296294</v>
      </c>
      <c r="E786" s="7">
        <f>CaseDataTable[[#This Row],[Время]]</f>
        <v>46274.673796296294</v>
      </c>
    </row>
    <row r="787" spans="1:5">
      <c r="A787">
        <v>123</v>
      </c>
      <c r="B787" s="2">
        <v>6450</v>
      </c>
      <c r="C787" t="s">
        <v>9</v>
      </c>
      <c r="D787" s="3">
        <v>46274.682650462964</v>
      </c>
      <c r="E787" s="7">
        <f>CaseDataTable[[#This Row],[Время]]</f>
        <v>46274.682650462964</v>
      </c>
    </row>
    <row r="788" spans="1:5">
      <c r="A788">
        <v>444</v>
      </c>
      <c r="B788" s="2">
        <v>7475</v>
      </c>
      <c r="C788" t="s">
        <v>19</v>
      </c>
      <c r="D788" s="3">
        <v>46274.698692129627</v>
      </c>
      <c r="E788" s="7">
        <f>CaseDataTable[[#This Row],[Время]]</f>
        <v>46274.698692129627</v>
      </c>
    </row>
    <row r="789" spans="1:5">
      <c r="A789">
        <v>444</v>
      </c>
      <c r="B789" s="2">
        <v>7475</v>
      </c>
      <c r="C789" t="s">
        <v>15</v>
      </c>
      <c r="D789" s="3">
        <v>46274.698692129627</v>
      </c>
      <c r="E789" s="7">
        <f>CaseDataTable[[#This Row],[Время]]</f>
        <v>46274.698692129627</v>
      </c>
    </row>
    <row r="790" spans="1:5">
      <c r="A790">
        <v>36</v>
      </c>
      <c r="B790" s="2">
        <v>8950</v>
      </c>
      <c r="C790" t="s">
        <v>16</v>
      </c>
      <c r="D790" s="3">
        <v>46274.809953703705</v>
      </c>
      <c r="E790" s="7">
        <f>CaseDataTable[[#This Row],[Время]]</f>
        <v>46274.809953703705</v>
      </c>
    </row>
    <row r="791" spans="1:5">
      <c r="A791">
        <v>36</v>
      </c>
      <c r="B791" s="2">
        <v>8950</v>
      </c>
      <c r="C791" t="s">
        <v>21</v>
      </c>
      <c r="D791" s="3">
        <v>46274.809953703705</v>
      </c>
      <c r="E791" s="7">
        <f>CaseDataTable[[#This Row],[Время]]</f>
        <v>46274.809953703705</v>
      </c>
    </row>
    <row r="792" spans="1:5">
      <c r="A792">
        <v>36</v>
      </c>
      <c r="B792" s="2">
        <v>8950</v>
      </c>
      <c r="C792" t="s">
        <v>6</v>
      </c>
      <c r="D792" s="3">
        <v>46274.809953703705</v>
      </c>
      <c r="E792" s="7">
        <f>CaseDataTable[[#This Row],[Время]]</f>
        <v>46274.809953703705</v>
      </c>
    </row>
    <row r="793" spans="1:5">
      <c r="A793">
        <v>36</v>
      </c>
      <c r="B793" s="2">
        <v>8950</v>
      </c>
      <c r="C793" t="s">
        <v>7</v>
      </c>
      <c r="D793" s="3">
        <v>46274.809953703705</v>
      </c>
      <c r="E793" s="7">
        <f>CaseDataTable[[#This Row],[Время]]</f>
        <v>46274.809953703705</v>
      </c>
    </row>
    <row r="794" spans="1:5">
      <c r="A794">
        <v>36</v>
      </c>
      <c r="B794" s="2">
        <v>8950</v>
      </c>
      <c r="C794" t="s">
        <v>14</v>
      </c>
      <c r="D794" s="3">
        <v>46274.809953703705</v>
      </c>
      <c r="E794" s="7">
        <f>CaseDataTable[[#This Row],[Время]]</f>
        <v>46274.809953703705</v>
      </c>
    </row>
    <row r="795" spans="1:5">
      <c r="A795">
        <v>407</v>
      </c>
      <c r="B795" s="2">
        <v>8950</v>
      </c>
      <c r="C795" t="s">
        <v>6</v>
      </c>
      <c r="D795" s="3">
        <v>46274.966203703705</v>
      </c>
      <c r="E795" s="7">
        <f>CaseDataTable[[#This Row],[Время]]</f>
        <v>46274.966203703705</v>
      </c>
    </row>
    <row r="796" spans="1:5">
      <c r="A796">
        <v>196</v>
      </c>
      <c r="B796" s="2">
        <v>9950</v>
      </c>
      <c r="C796" t="s">
        <v>6</v>
      </c>
      <c r="D796" s="3">
        <v>46275.256388888891</v>
      </c>
      <c r="E796" s="7">
        <f>CaseDataTable[[#This Row],[Время]]</f>
        <v>46275.256388888891</v>
      </c>
    </row>
  </sheetData>
  <mergeCells count="1">
    <mergeCell ref="I2:S1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8B69-C2C9-2247-AA1A-5B01B4F548A1}">
  <dimension ref="A3:T133"/>
  <sheetViews>
    <sheetView zoomScale="50" workbookViewId="0">
      <selection activeCell="B47" sqref="B47:E48"/>
    </sheetView>
  </sheetViews>
  <sheetFormatPr baseColWidth="10" defaultRowHeight="14"/>
  <cols>
    <col min="1" max="1" width="20.33203125" bestFit="1" customWidth="1"/>
    <col min="2" max="2" width="20" bestFit="1" customWidth="1"/>
    <col min="3" max="3" width="11" bestFit="1" customWidth="1"/>
    <col min="4" max="4" width="14.33203125" bestFit="1" customWidth="1"/>
    <col min="5" max="5" width="18.1640625" bestFit="1" customWidth="1"/>
    <col min="6" max="6" width="34.6640625" bestFit="1" customWidth="1"/>
    <col min="7" max="7" width="36" bestFit="1" customWidth="1"/>
    <col min="8" max="8" width="22.1640625" bestFit="1" customWidth="1"/>
    <col min="9" max="9" width="18.6640625" customWidth="1"/>
    <col min="10" max="10" width="16.5" bestFit="1" customWidth="1"/>
    <col min="12" max="12" width="19" bestFit="1" customWidth="1"/>
    <col min="13" max="13" width="10.1640625" bestFit="1" customWidth="1"/>
    <col min="14" max="14" width="11.5" bestFit="1" customWidth="1"/>
    <col min="15" max="15" width="13" bestFit="1" customWidth="1"/>
    <col min="16" max="16" width="14.83203125" bestFit="1" customWidth="1"/>
    <col min="17" max="17" width="11.5" bestFit="1" customWidth="1"/>
    <col min="18" max="19" width="10.1640625" bestFit="1" customWidth="1"/>
    <col min="20" max="20" width="11.6640625" bestFit="1" customWidth="1"/>
  </cols>
  <sheetData>
    <row r="3" spans="1:20">
      <c r="A3" s="4" t="s">
        <v>25</v>
      </c>
      <c r="B3" s="4" t="s">
        <v>24</v>
      </c>
    </row>
    <row r="4" spans="1:20">
      <c r="A4" s="4" t="s">
        <v>22</v>
      </c>
      <c r="B4" t="s">
        <v>13</v>
      </c>
      <c r="C4" t="s">
        <v>16</v>
      </c>
      <c r="D4" t="s">
        <v>19</v>
      </c>
      <c r="E4" t="s">
        <v>15</v>
      </c>
      <c r="F4" t="s">
        <v>17</v>
      </c>
      <c r="G4" t="s">
        <v>5</v>
      </c>
      <c r="H4" t="s">
        <v>21</v>
      </c>
      <c r="I4" t="s">
        <v>8</v>
      </c>
      <c r="J4" t="s">
        <v>6</v>
      </c>
      <c r="K4" t="s">
        <v>7</v>
      </c>
      <c r="L4" t="s">
        <v>14</v>
      </c>
      <c r="M4" t="s">
        <v>20</v>
      </c>
      <c r="N4" t="s">
        <v>12</v>
      </c>
      <c r="O4" t="s">
        <v>10</v>
      </c>
      <c r="P4" t="s">
        <v>18</v>
      </c>
      <c r="Q4" t="s">
        <v>9</v>
      </c>
      <c r="R4" t="s">
        <v>4</v>
      </c>
      <c r="S4" t="s">
        <v>11</v>
      </c>
      <c r="T4" t="s">
        <v>23</v>
      </c>
    </row>
    <row r="5" spans="1:20">
      <c r="A5" s="5" t="s">
        <v>26</v>
      </c>
      <c r="B5" s="6"/>
      <c r="C5" s="6"/>
      <c r="D5" s="6"/>
      <c r="E5" s="6"/>
      <c r="F5" s="6"/>
      <c r="G5" s="6">
        <v>7890</v>
      </c>
      <c r="H5" s="6"/>
      <c r="I5" s="6">
        <v>8950</v>
      </c>
      <c r="J5" s="6">
        <v>8475</v>
      </c>
      <c r="K5" s="6">
        <v>8475</v>
      </c>
      <c r="L5" s="6"/>
      <c r="M5" s="6"/>
      <c r="N5" s="6"/>
      <c r="O5" s="6">
        <v>8745</v>
      </c>
      <c r="P5" s="6"/>
      <c r="Q5" s="6">
        <v>15695</v>
      </c>
      <c r="R5" s="6">
        <v>17425</v>
      </c>
      <c r="S5" s="6">
        <v>8475</v>
      </c>
      <c r="T5" s="6">
        <v>84130</v>
      </c>
    </row>
    <row r="6" spans="1:20">
      <c r="A6" s="5" t="s">
        <v>27</v>
      </c>
      <c r="B6" s="6">
        <v>8745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16450</v>
      </c>
      <c r="O6" s="6">
        <v>24925</v>
      </c>
      <c r="P6" s="6"/>
      <c r="Q6" s="6"/>
      <c r="R6" s="6"/>
      <c r="S6" s="6">
        <v>16990</v>
      </c>
      <c r="T6" s="6">
        <v>67110</v>
      </c>
    </row>
    <row r="7" spans="1:20">
      <c r="A7" s="5" t="s">
        <v>28</v>
      </c>
      <c r="B7" s="6"/>
      <c r="C7" s="6"/>
      <c r="D7" s="6"/>
      <c r="E7" s="6"/>
      <c r="F7" s="6"/>
      <c r="G7" s="6"/>
      <c r="H7" s="6"/>
      <c r="I7" s="6">
        <v>13900</v>
      </c>
      <c r="J7" s="6">
        <v>29850</v>
      </c>
      <c r="K7" s="6">
        <v>9950</v>
      </c>
      <c r="L7" s="6">
        <v>500</v>
      </c>
      <c r="M7" s="6"/>
      <c r="N7" s="6"/>
      <c r="O7" s="6"/>
      <c r="P7" s="6"/>
      <c r="Q7" s="6"/>
      <c r="R7" s="6"/>
      <c r="S7" s="6">
        <v>8245</v>
      </c>
      <c r="T7" s="6">
        <v>62445</v>
      </c>
    </row>
    <row r="8" spans="1:20">
      <c r="A8" s="5" t="s">
        <v>29</v>
      </c>
      <c r="B8" s="6"/>
      <c r="C8" s="6"/>
      <c r="D8" s="6"/>
      <c r="E8" s="6"/>
      <c r="F8" s="6"/>
      <c r="G8" s="6"/>
      <c r="H8" s="6"/>
      <c r="I8" s="6">
        <v>6950</v>
      </c>
      <c r="J8" s="6">
        <v>9950</v>
      </c>
      <c r="K8" s="6">
        <v>29350</v>
      </c>
      <c r="L8" s="6"/>
      <c r="M8" s="6"/>
      <c r="N8" s="6"/>
      <c r="O8" s="6"/>
      <c r="P8" s="6"/>
      <c r="Q8" s="6"/>
      <c r="R8" s="6">
        <v>8745</v>
      </c>
      <c r="S8" s="6"/>
      <c r="T8" s="6">
        <v>54995</v>
      </c>
    </row>
    <row r="9" spans="1:20" s="10" customFormat="1">
      <c r="A9" s="8" t="s">
        <v>30</v>
      </c>
      <c r="B9" s="9">
        <v>4495</v>
      </c>
      <c r="C9" s="9">
        <v>29390</v>
      </c>
      <c r="D9" s="9"/>
      <c r="E9" s="9">
        <v>72565</v>
      </c>
      <c r="F9" s="9">
        <v>4995</v>
      </c>
      <c r="G9" s="9">
        <v>39360</v>
      </c>
      <c r="H9" s="9"/>
      <c r="I9" s="9"/>
      <c r="J9" s="9"/>
      <c r="K9" s="9"/>
      <c r="L9" s="9"/>
      <c r="M9" s="9"/>
      <c r="N9" s="9">
        <v>16490</v>
      </c>
      <c r="O9" s="9">
        <v>45850</v>
      </c>
      <c r="P9" s="9">
        <v>4995</v>
      </c>
      <c r="Q9" s="9"/>
      <c r="R9" s="9">
        <v>8745</v>
      </c>
      <c r="S9" s="9">
        <v>48130</v>
      </c>
      <c r="T9" s="9">
        <v>275015</v>
      </c>
    </row>
    <row r="10" spans="1:20" s="10" customFormat="1">
      <c r="A10" s="8" t="s">
        <v>31</v>
      </c>
      <c r="B10" s="9"/>
      <c r="C10" s="9">
        <v>60625</v>
      </c>
      <c r="D10" s="9"/>
      <c r="E10" s="9">
        <v>142186.68</v>
      </c>
      <c r="F10" s="9">
        <v>4950</v>
      </c>
      <c r="G10" s="9">
        <v>100770</v>
      </c>
      <c r="H10" s="9"/>
      <c r="I10" s="9"/>
      <c r="J10" s="9"/>
      <c r="K10" s="9"/>
      <c r="L10" s="9"/>
      <c r="M10" s="9"/>
      <c r="N10" s="9">
        <v>6490</v>
      </c>
      <c r="O10" s="9">
        <v>67226.66</v>
      </c>
      <c r="P10" s="9">
        <v>6450</v>
      </c>
      <c r="Q10" s="9">
        <v>19350</v>
      </c>
      <c r="R10" s="9">
        <v>8745</v>
      </c>
      <c r="S10" s="9">
        <v>107298.33</v>
      </c>
      <c r="T10" s="9">
        <v>524091.67</v>
      </c>
    </row>
    <row r="11" spans="1:20">
      <c r="A11" s="5" t="s">
        <v>32</v>
      </c>
      <c r="B11" s="6"/>
      <c r="C11" s="6">
        <v>16185</v>
      </c>
      <c r="D11" s="6"/>
      <c r="E11" s="6">
        <v>36190</v>
      </c>
      <c r="F11" s="6">
        <v>14400</v>
      </c>
      <c r="G11" s="6">
        <v>63830</v>
      </c>
      <c r="H11" s="6"/>
      <c r="I11" s="6">
        <v>26800</v>
      </c>
      <c r="J11" s="6"/>
      <c r="K11" s="6"/>
      <c r="L11" s="6"/>
      <c r="M11" s="6"/>
      <c r="N11" s="6"/>
      <c r="O11" s="6">
        <v>9650</v>
      </c>
      <c r="P11" s="6">
        <v>13400</v>
      </c>
      <c r="Q11" s="6"/>
      <c r="R11" s="6"/>
      <c r="S11" s="6">
        <v>25135</v>
      </c>
      <c r="T11" s="6">
        <v>205590</v>
      </c>
    </row>
    <row r="12" spans="1:20">
      <c r="A12" s="5" t="s">
        <v>33</v>
      </c>
      <c r="B12" s="6"/>
      <c r="C12" s="6"/>
      <c r="D12" s="6"/>
      <c r="E12" s="6">
        <v>19800</v>
      </c>
      <c r="F12" s="6">
        <v>3245</v>
      </c>
      <c r="G12" s="6">
        <v>9735</v>
      </c>
      <c r="H12" s="6"/>
      <c r="I12" s="6">
        <v>26800</v>
      </c>
      <c r="J12" s="6"/>
      <c r="K12" s="6"/>
      <c r="L12" s="6"/>
      <c r="M12" s="6"/>
      <c r="N12" s="6"/>
      <c r="O12" s="6"/>
      <c r="P12" s="6"/>
      <c r="Q12" s="6"/>
      <c r="R12" s="6">
        <v>8475</v>
      </c>
      <c r="S12" s="6">
        <v>28275</v>
      </c>
      <c r="T12" s="6">
        <v>96330</v>
      </c>
    </row>
    <row r="13" spans="1:20">
      <c r="A13" s="5" t="s">
        <v>34</v>
      </c>
      <c r="B13" s="6"/>
      <c r="C13" s="6">
        <v>4950</v>
      </c>
      <c r="D13" s="6">
        <v>4950</v>
      </c>
      <c r="E13" s="6">
        <v>4950</v>
      </c>
      <c r="F13" s="6">
        <v>8475</v>
      </c>
      <c r="G13" s="6">
        <v>32455</v>
      </c>
      <c r="H13" s="6"/>
      <c r="I13" s="6">
        <v>19850</v>
      </c>
      <c r="J13" s="6"/>
      <c r="K13" s="6"/>
      <c r="L13" s="6"/>
      <c r="M13" s="6"/>
      <c r="N13" s="6"/>
      <c r="O13" s="6"/>
      <c r="P13" s="6"/>
      <c r="Q13" s="6"/>
      <c r="R13" s="6"/>
      <c r="S13" s="6">
        <v>39300</v>
      </c>
      <c r="T13" s="6">
        <v>114930</v>
      </c>
    </row>
    <row r="14" spans="1:20">
      <c r="A14" s="5" t="s">
        <v>35</v>
      </c>
      <c r="B14" s="6"/>
      <c r="C14" s="6">
        <v>5750</v>
      </c>
      <c r="D14" s="6"/>
      <c r="E14" s="6">
        <v>17490</v>
      </c>
      <c r="F14" s="6">
        <v>17220</v>
      </c>
      <c r="G14" s="6"/>
      <c r="H14" s="6"/>
      <c r="I14" s="6">
        <v>6450</v>
      </c>
      <c r="J14" s="6"/>
      <c r="K14" s="6"/>
      <c r="L14" s="6">
        <v>19900</v>
      </c>
      <c r="M14" s="6"/>
      <c r="N14" s="6"/>
      <c r="O14" s="6"/>
      <c r="P14" s="6"/>
      <c r="Q14" s="6"/>
      <c r="R14" s="6"/>
      <c r="S14" s="6">
        <v>6000</v>
      </c>
      <c r="T14" s="6">
        <v>72810</v>
      </c>
    </row>
    <row r="15" spans="1:20">
      <c r="A15" s="5" t="s">
        <v>36</v>
      </c>
      <c r="B15" s="6">
        <v>4495</v>
      </c>
      <c r="C15" s="6">
        <v>5750</v>
      </c>
      <c r="D15" s="6"/>
      <c r="E15" s="6">
        <v>8745</v>
      </c>
      <c r="F15" s="6"/>
      <c r="G15" s="6"/>
      <c r="H15" s="6"/>
      <c r="I15" s="6">
        <v>20850</v>
      </c>
      <c r="J15" s="6"/>
      <c r="K15" s="6"/>
      <c r="L15" s="6">
        <v>19900</v>
      </c>
      <c r="M15" s="6"/>
      <c r="N15" s="6"/>
      <c r="O15" s="6"/>
      <c r="P15" s="6"/>
      <c r="Q15" s="6"/>
      <c r="R15" s="6">
        <v>8475</v>
      </c>
      <c r="S15" s="6">
        <v>8475</v>
      </c>
      <c r="T15" s="6">
        <v>76690</v>
      </c>
    </row>
    <row r="16" spans="1:20">
      <c r="A16" s="5" t="s">
        <v>37</v>
      </c>
      <c r="B16" s="6"/>
      <c r="C16" s="6">
        <v>18425</v>
      </c>
      <c r="D16" s="6"/>
      <c r="E16" s="6">
        <v>2875</v>
      </c>
      <c r="F16" s="6"/>
      <c r="G16" s="6">
        <v>8745</v>
      </c>
      <c r="H16" s="6"/>
      <c r="I16" s="6">
        <v>6950</v>
      </c>
      <c r="J16" s="6"/>
      <c r="K16" s="6"/>
      <c r="L16" s="6"/>
      <c r="M16" s="6"/>
      <c r="N16" s="6"/>
      <c r="O16" s="6"/>
      <c r="P16" s="6"/>
      <c r="Q16" s="6"/>
      <c r="R16" s="6"/>
      <c r="S16" s="6">
        <v>11350</v>
      </c>
      <c r="T16" s="6">
        <v>48345</v>
      </c>
    </row>
    <row r="17" spans="1:20">
      <c r="A17" s="5" t="s">
        <v>38</v>
      </c>
      <c r="B17" s="6"/>
      <c r="C17" s="6"/>
      <c r="D17" s="6"/>
      <c r="E17" s="6">
        <v>8745</v>
      </c>
      <c r="F17" s="6">
        <v>4950</v>
      </c>
      <c r="G17" s="6">
        <v>22440</v>
      </c>
      <c r="H17" s="6"/>
      <c r="I17" s="6">
        <v>6950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43085</v>
      </c>
    </row>
    <row r="18" spans="1:20">
      <c r="A18" s="5" t="s">
        <v>39</v>
      </c>
      <c r="B18" s="6"/>
      <c r="C18" s="6"/>
      <c r="D18" s="6"/>
      <c r="E18" s="6">
        <v>8745</v>
      </c>
      <c r="F18" s="6"/>
      <c r="G18" s="6"/>
      <c r="H18" s="6"/>
      <c r="I18" s="6">
        <v>6950</v>
      </c>
      <c r="J18" s="6"/>
      <c r="K18" s="6"/>
      <c r="L18" s="6"/>
      <c r="M18" s="6"/>
      <c r="N18" s="6"/>
      <c r="O18" s="6"/>
      <c r="P18" s="6"/>
      <c r="Q18" s="6"/>
      <c r="R18" s="6"/>
      <c r="S18" s="6">
        <v>17490</v>
      </c>
      <c r="T18" s="6">
        <v>33185</v>
      </c>
    </row>
    <row r="19" spans="1:20">
      <c r="A19" s="5" t="s">
        <v>40</v>
      </c>
      <c r="B19" s="6"/>
      <c r="C19" s="6"/>
      <c r="D19" s="6"/>
      <c r="E19" s="6"/>
      <c r="F19" s="6">
        <v>8475</v>
      </c>
      <c r="G19" s="6">
        <v>34440</v>
      </c>
      <c r="H19" s="6"/>
      <c r="I19" s="6"/>
      <c r="J19" s="6">
        <v>9450</v>
      </c>
      <c r="K19" s="6"/>
      <c r="L19" s="6"/>
      <c r="M19" s="6"/>
      <c r="N19" s="6"/>
      <c r="O19" s="6"/>
      <c r="P19" s="6"/>
      <c r="Q19" s="6"/>
      <c r="R19" s="6"/>
      <c r="S19" s="6">
        <v>8745</v>
      </c>
      <c r="T19" s="6">
        <v>61110</v>
      </c>
    </row>
    <row r="20" spans="1:20">
      <c r="A20" s="5" t="s">
        <v>41</v>
      </c>
      <c r="B20" s="6"/>
      <c r="C20" s="6"/>
      <c r="D20" s="6"/>
      <c r="E20" s="6">
        <v>16490</v>
      </c>
      <c r="F20" s="6">
        <v>8245</v>
      </c>
      <c r="G20" s="6">
        <v>8245</v>
      </c>
      <c r="H20" s="6"/>
      <c r="I20" s="6"/>
      <c r="J20" s="6">
        <v>9450</v>
      </c>
      <c r="K20" s="6"/>
      <c r="L20" s="6"/>
      <c r="M20" s="6"/>
      <c r="N20" s="6">
        <v>7000</v>
      </c>
      <c r="O20" s="6"/>
      <c r="P20" s="6"/>
      <c r="Q20" s="6">
        <v>6950</v>
      </c>
      <c r="R20" s="6"/>
      <c r="S20" s="6"/>
      <c r="T20" s="6">
        <v>56380</v>
      </c>
    </row>
    <row r="21" spans="1:20">
      <c r="A21" s="5" t="s">
        <v>42</v>
      </c>
      <c r="B21" s="6"/>
      <c r="C21" s="6"/>
      <c r="D21" s="6"/>
      <c r="E21" s="6">
        <v>8745</v>
      </c>
      <c r="F21" s="6"/>
      <c r="G21" s="6">
        <v>8745</v>
      </c>
      <c r="H21" s="6"/>
      <c r="I21" s="6">
        <v>6950</v>
      </c>
      <c r="J21" s="6">
        <v>9450</v>
      </c>
      <c r="K21" s="6"/>
      <c r="L21" s="6">
        <v>9950</v>
      </c>
      <c r="M21" s="6"/>
      <c r="N21" s="6"/>
      <c r="O21" s="6"/>
      <c r="P21" s="6"/>
      <c r="Q21" s="6"/>
      <c r="R21" s="6"/>
      <c r="S21" s="6">
        <v>8745</v>
      </c>
      <c r="T21" s="6">
        <v>52585</v>
      </c>
    </row>
    <row r="22" spans="1:20">
      <c r="A22" s="5" t="s">
        <v>43</v>
      </c>
      <c r="B22" s="6"/>
      <c r="C22" s="6"/>
      <c r="D22" s="6"/>
      <c r="E22" s="6"/>
      <c r="F22" s="6">
        <v>8245</v>
      </c>
      <c r="G22" s="6"/>
      <c r="H22" s="6"/>
      <c r="I22" s="6"/>
      <c r="J22" s="6">
        <v>9950</v>
      </c>
      <c r="K22" s="6">
        <v>9950</v>
      </c>
      <c r="L22" s="6"/>
      <c r="M22" s="6"/>
      <c r="N22" s="6"/>
      <c r="O22" s="6"/>
      <c r="P22" s="6"/>
      <c r="Q22" s="6"/>
      <c r="R22" s="6"/>
      <c r="S22" s="6"/>
      <c r="T22" s="6">
        <v>28145</v>
      </c>
    </row>
    <row r="23" spans="1:20">
      <c r="A23" s="5" t="s">
        <v>44</v>
      </c>
      <c r="B23" s="6"/>
      <c r="C23" s="6">
        <v>18400</v>
      </c>
      <c r="D23" s="6">
        <v>37350</v>
      </c>
      <c r="E23" s="6">
        <v>14950</v>
      </c>
      <c r="F23" s="6">
        <v>15925</v>
      </c>
      <c r="G23" s="6">
        <v>25375</v>
      </c>
      <c r="H23" s="6"/>
      <c r="I23" s="6">
        <v>6950</v>
      </c>
      <c r="J23" s="6">
        <v>9950</v>
      </c>
      <c r="K23" s="6"/>
      <c r="L23" s="6"/>
      <c r="M23" s="6">
        <v>38800</v>
      </c>
      <c r="N23" s="6">
        <v>37375</v>
      </c>
      <c r="O23" s="6"/>
      <c r="P23" s="6"/>
      <c r="Q23" s="6"/>
      <c r="R23" s="6">
        <v>37125</v>
      </c>
      <c r="S23" s="6">
        <v>8950</v>
      </c>
      <c r="T23" s="6">
        <v>251150</v>
      </c>
    </row>
    <row r="24" spans="1:20">
      <c r="A24" s="5" t="s">
        <v>45</v>
      </c>
      <c r="B24" s="6"/>
      <c r="C24" s="6">
        <v>16900</v>
      </c>
      <c r="D24" s="6">
        <v>15425</v>
      </c>
      <c r="E24" s="6"/>
      <c r="F24" s="6">
        <v>83675</v>
      </c>
      <c r="G24" s="6">
        <v>38145</v>
      </c>
      <c r="H24" s="6"/>
      <c r="I24" s="6">
        <v>8000</v>
      </c>
      <c r="J24" s="6"/>
      <c r="K24" s="6"/>
      <c r="L24" s="6"/>
      <c r="M24" s="6">
        <v>120450</v>
      </c>
      <c r="N24" s="6">
        <v>41775</v>
      </c>
      <c r="O24" s="6">
        <v>8950</v>
      </c>
      <c r="P24" s="6"/>
      <c r="Q24" s="6"/>
      <c r="R24" s="6">
        <v>52225</v>
      </c>
      <c r="S24" s="6">
        <v>8950</v>
      </c>
      <c r="T24" s="6">
        <v>394495</v>
      </c>
    </row>
    <row r="25" spans="1:20">
      <c r="A25" s="5" t="s">
        <v>46</v>
      </c>
      <c r="B25" s="6"/>
      <c r="C25" s="6"/>
      <c r="D25" s="6">
        <v>14450</v>
      </c>
      <c r="E25" s="6">
        <v>23900</v>
      </c>
      <c r="F25" s="6">
        <v>35800</v>
      </c>
      <c r="G25" s="6"/>
      <c r="H25" s="6"/>
      <c r="I25" s="6"/>
      <c r="J25" s="6">
        <v>9950</v>
      </c>
      <c r="K25" s="6"/>
      <c r="L25" s="6">
        <v>9950</v>
      </c>
      <c r="M25" s="6">
        <v>42100.5</v>
      </c>
      <c r="N25" s="6">
        <v>8222.5</v>
      </c>
      <c r="O25" s="6"/>
      <c r="P25" s="6"/>
      <c r="Q25" s="6">
        <v>6950</v>
      </c>
      <c r="R25" s="6">
        <v>14950</v>
      </c>
      <c r="S25" s="6">
        <v>17800</v>
      </c>
      <c r="T25" s="6">
        <v>184073</v>
      </c>
    </row>
    <row r="26" spans="1:20">
      <c r="A26" s="5" t="s">
        <v>47</v>
      </c>
      <c r="B26" s="6">
        <v>7475</v>
      </c>
      <c r="C26" s="6"/>
      <c r="D26" s="6"/>
      <c r="E26" s="6"/>
      <c r="F26" s="6">
        <v>15925</v>
      </c>
      <c r="G26" s="6">
        <v>8450</v>
      </c>
      <c r="H26" s="6"/>
      <c r="I26" s="6"/>
      <c r="J26" s="6"/>
      <c r="K26" s="6"/>
      <c r="L26" s="6"/>
      <c r="M26" s="6">
        <v>63725</v>
      </c>
      <c r="N26" s="6">
        <v>14950</v>
      </c>
      <c r="O26" s="6">
        <v>8950</v>
      </c>
      <c r="P26" s="6"/>
      <c r="Q26" s="6"/>
      <c r="R26" s="6">
        <v>22175</v>
      </c>
      <c r="S26" s="6"/>
      <c r="T26" s="6">
        <v>141650</v>
      </c>
    </row>
    <row r="27" spans="1:20">
      <c r="A27" s="5" t="s">
        <v>48</v>
      </c>
      <c r="B27" s="6"/>
      <c r="C27" s="6"/>
      <c r="D27" s="6">
        <v>8950</v>
      </c>
      <c r="E27" s="6"/>
      <c r="F27" s="6">
        <v>7475</v>
      </c>
      <c r="G27" s="6">
        <v>8950</v>
      </c>
      <c r="H27" s="6"/>
      <c r="I27" s="6"/>
      <c r="J27" s="6"/>
      <c r="K27" s="6"/>
      <c r="L27" s="6"/>
      <c r="M27" s="6">
        <v>25850</v>
      </c>
      <c r="N27" s="6">
        <v>7475</v>
      </c>
      <c r="O27" s="6">
        <v>7475</v>
      </c>
      <c r="P27" s="6"/>
      <c r="Q27" s="6"/>
      <c r="R27" s="6">
        <v>8950</v>
      </c>
      <c r="S27" s="6">
        <v>8950</v>
      </c>
      <c r="T27" s="6">
        <v>84075</v>
      </c>
    </row>
    <row r="28" spans="1:20">
      <c r="A28" s="5" t="s">
        <v>49</v>
      </c>
      <c r="B28" s="6"/>
      <c r="C28" s="6">
        <v>7462.5</v>
      </c>
      <c r="D28" s="6"/>
      <c r="E28" s="6"/>
      <c r="F28" s="6">
        <v>7475</v>
      </c>
      <c r="G28" s="6"/>
      <c r="H28" s="6"/>
      <c r="I28" s="6"/>
      <c r="J28" s="6"/>
      <c r="K28" s="6">
        <v>17412.5</v>
      </c>
      <c r="L28" s="6">
        <v>7462.5</v>
      </c>
      <c r="M28" s="6">
        <v>39812.5</v>
      </c>
      <c r="N28" s="6">
        <v>7475</v>
      </c>
      <c r="O28" s="6"/>
      <c r="P28" s="6"/>
      <c r="Q28" s="6"/>
      <c r="R28" s="6">
        <v>21425</v>
      </c>
      <c r="S28" s="6">
        <v>28900</v>
      </c>
      <c r="T28" s="6">
        <v>137425</v>
      </c>
    </row>
    <row r="29" spans="1:20">
      <c r="A29" s="5" t="s">
        <v>50</v>
      </c>
      <c r="B29" s="6"/>
      <c r="C29" s="6"/>
      <c r="D29" s="6"/>
      <c r="E29" s="6">
        <v>7475</v>
      </c>
      <c r="F29" s="6"/>
      <c r="G29" s="6">
        <v>17900</v>
      </c>
      <c r="H29" s="6"/>
      <c r="I29" s="6"/>
      <c r="J29" s="6"/>
      <c r="K29" s="6">
        <v>9950</v>
      </c>
      <c r="L29" s="6"/>
      <c r="M29" s="6">
        <v>8950</v>
      </c>
      <c r="N29" s="6"/>
      <c r="O29" s="6">
        <v>8450</v>
      </c>
      <c r="P29" s="6"/>
      <c r="Q29" s="6"/>
      <c r="R29" s="6">
        <v>7475</v>
      </c>
      <c r="S29" s="6"/>
      <c r="T29" s="6">
        <v>60200</v>
      </c>
    </row>
    <row r="30" spans="1:20">
      <c r="A30" s="5" t="s">
        <v>51</v>
      </c>
      <c r="B30" s="6">
        <v>5975</v>
      </c>
      <c r="C30" s="6"/>
      <c r="D30" s="6"/>
      <c r="E30" s="6"/>
      <c r="F30" s="6">
        <v>4475</v>
      </c>
      <c r="G30" s="6">
        <v>10450</v>
      </c>
      <c r="H30" s="6"/>
      <c r="I30" s="6"/>
      <c r="J30" s="6"/>
      <c r="K30" s="6">
        <v>9450</v>
      </c>
      <c r="L30" s="6"/>
      <c r="M30" s="6">
        <v>23875</v>
      </c>
      <c r="N30" s="6">
        <v>8950</v>
      </c>
      <c r="O30" s="6"/>
      <c r="P30" s="6"/>
      <c r="Q30" s="6"/>
      <c r="R30" s="6">
        <v>32350</v>
      </c>
      <c r="S30" s="6"/>
      <c r="T30" s="6">
        <v>95525</v>
      </c>
    </row>
    <row r="31" spans="1:20">
      <c r="A31" s="5" t="s">
        <v>52</v>
      </c>
      <c r="B31" s="6"/>
      <c r="C31" s="6"/>
      <c r="D31" s="6">
        <v>13950</v>
      </c>
      <c r="E31" s="6">
        <v>14450</v>
      </c>
      <c r="F31" s="6">
        <v>22900</v>
      </c>
      <c r="G31" s="6"/>
      <c r="H31" s="6"/>
      <c r="I31" s="6"/>
      <c r="J31" s="6"/>
      <c r="K31" s="6"/>
      <c r="L31" s="6"/>
      <c r="M31" s="6">
        <v>68815</v>
      </c>
      <c r="N31" s="6"/>
      <c r="O31" s="6">
        <v>25375</v>
      </c>
      <c r="P31" s="6"/>
      <c r="Q31" s="6"/>
      <c r="R31" s="6">
        <v>30850</v>
      </c>
      <c r="S31" s="6"/>
      <c r="T31" s="6">
        <v>176340</v>
      </c>
    </row>
    <row r="32" spans="1:20">
      <c r="A32" s="5" t="s">
        <v>53</v>
      </c>
      <c r="B32" s="6"/>
      <c r="C32" s="6"/>
      <c r="D32" s="6">
        <v>14450</v>
      </c>
      <c r="E32" s="6">
        <v>21925</v>
      </c>
      <c r="F32" s="6">
        <v>60171.5</v>
      </c>
      <c r="G32" s="6">
        <v>16446.5</v>
      </c>
      <c r="H32" s="6">
        <v>8975</v>
      </c>
      <c r="I32" s="6"/>
      <c r="J32" s="6"/>
      <c r="K32" s="6"/>
      <c r="L32" s="6"/>
      <c r="M32" s="6">
        <v>33420</v>
      </c>
      <c r="N32" s="6">
        <v>26875</v>
      </c>
      <c r="O32" s="6">
        <v>7475</v>
      </c>
      <c r="P32" s="6"/>
      <c r="Q32" s="6"/>
      <c r="R32" s="6">
        <v>7475</v>
      </c>
      <c r="S32" s="6">
        <v>8975</v>
      </c>
      <c r="T32" s="6">
        <v>206188</v>
      </c>
    </row>
    <row r="33" spans="1:20">
      <c r="A33" s="5" t="s">
        <v>54</v>
      </c>
      <c r="B33" s="6"/>
      <c r="C33" s="6">
        <v>8245</v>
      </c>
      <c r="D33" s="6">
        <v>7475</v>
      </c>
      <c r="E33" s="6"/>
      <c r="F33" s="6">
        <v>44735</v>
      </c>
      <c r="G33" s="6">
        <v>26870</v>
      </c>
      <c r="H33" s="6">
        <v>8245</v>
      </c>
      <c r="I33" s="6"/>
      <c r="J33" s="6">
        <v>8245</v>
      </c>
      <c r="K33" s="6">
        <v>8245</v>
      </c>
      <c r="L33" s="6">
        <v>8245</v>
      </c>
      <c r="M33" s="6">
        <v>31350</v>
      </c>
      <c r="N33" s="6">
        <v>7475</v>
      </c>
      <c r="O33" s="6"/>
      <c r="P33" s="6"/>
      <c r="Q33" s="6"/>
      <c r="R33" s="6">
        <v>29400</v>
      </c>
      <c r="S33" s="6">
        <v>38350</v>
      </c>
      <c r="T33" s="6">
        <v>226880</v>
      </c>
    </row>
    <row r="34" spans="1:20">
      <c r="A34" s="5" t="s">
        <v>55</v>
      </c>
      <c r="B34" s="6">
        <v>5975</v>
      </c>
      <c r="C34" s="6">
        <v>4225</v>
      </c>
      <c r="D34" s="6">
        <v>22425</v>
      </c>
      <c r="E34" s="6">
        <v>32850</v>
      </c>
      <c r="F34" s="6">
        <v>35285</v>
      </c>
      <c r="G34" s="6">
        <v>13450</v>
      </c>
      <c r="H34" s="6"/>
      <c r="I34" s="6"/>
      <c r="J34" s="6">
        <v>18195</v>
      </c>
      <c r="K34" s="6">
        <v>10000</v>
      </c>
      <c r="L34" s="6">
        <v>9450</v>
      </c>
      <c r="M34" s="6"/>
      <c r="N34" s="6">
        <v>57950</v>
      </c>
      <c r="O34" s="6"/>
      <c r="P34" s="6"/>
      <c r="Q34" s="6"/>
      <c r="R34" s="6">
        <v>7475</v>
      </c>
      <c r="S34" s="6"/>
      <c r="T34" s="6">
        <v>217280</v>
      </c>
    </row>
    <row r="35" spans="1:20">
      <c r="A35" s="5" t="s">
        <v>56</v>
      </c>
      <c r="B35" s="6">
        <v>5975</v>
      </c>
      <c r="C35" s="6"/>
      <c r="D35" s="6">
        <v>15925</v>
      </c>
      <c r="E35" s="6"/>
      <c r="F35" s="6">
        <v>51725</v>
      </c>
      <c r="G35" s="6">
        <v>13450</v>
      </c>
      <c r="H35" s="6"/>
      <c r="I35" s="6">
        <v>6950</v>
      </c>
      <c r="J35" s="6"/>
      <c r="K35" s="6"/>
      <c r="L35" s="6">
        <v>18900</v>
      </c>
      <c r="M35" s="6">
        <v>10000</v>
      </c>
      <c r="N35" s="6">
        <v>23650</v>
      </c>
      <c r="O35" s="6"/>
      <c r="P35" s="6"/>
      <c r="Q35" s="6"/>
      <c r="R35" s="6">
        <v>33825</v>
      </c>
      <c r="S35" s="6"/>
      <c r="T35" s="6">
        <v>180400</v>
      </c>
    </row>
    <row r="36" spans="1:20">
      <c r="A36" s="5" t="s">
        <v>57</v>
      </c>
      <c r="B36" s="6"/>
      <c r="C36" s="6"/>
      <c r="D36" s="6">
        <v>7000</v>
      </c>
      <c r="E36" s="6"/>
      <c r="F36" s="6">
        <v>73650</v>
      </c>
      <c r="G36" s="6">
        <v>40325</v>
      </c>
      <c r="H36" s="6">
        <v>8245</v>
      </c>
      <c r="I36" s="6"/>
      <c r="J36" s="6">
        <v>19900</v>
      </c>
      <c r="K36" s="6"/>
      <c r="L36" s="6"/>
      <c r="M36" s="6">
        <v>23400</v>
      </c>
      <c r="N36" s="6">
        <v>34315</v>
      </c>
      <c r="O36" s="6"/>
      <c r="P36" s="6"/>
      <c r="Q36" s="6"/>
      <c r="R36" s="6">
        <v>31375</v>
      </c>
      <c r="S36" s="6">
        <v>31375</v>
      </c>
      <c r="T36" s="6">
        <v>269585</v>
      </c>
    </row>
    <row r="37" spans="1:20">
      <c r="A37" s="5" t="s">
        <v>58</v>
      </c>
      <c r="B37" s="6">
        <v>6475</v>
      </c>
      <c r="C37" s="6"/>
      <c r="D37" s="6">
        <v>34334</v>
      </c>
      <c r="E37" s="6">
        <v>15950</v>
      </c>
      <c r="F37" s="6">
        <v>91050</v>
      </c>
      <c r="G37" s="6">
        <v>37850</v>
      </c>
      <c r="H37" s="6"/>
      <c r="I37" s="6"/>
      <c r="J37" s="6"/>
      <c r="K37" s="6"/>
      <c r="L37" s="6"/>
      <c r="M37" s="6">
        <v>25850</v>
      </c>
      <c r="N37" s="6">
        <v>57225</v>
      </c>
      <c r="O37" s="6">
        <v>23900</v>
      </c>
      <c r="P37" s="6"/>
      <c r="Q37" s="6"/>
      <c r="R37" s="6">
        <v>177100</v>
      </c>
      <c r="S37" s="6">
        <v>14950</v>
      </c>
      <c r="T37" s="6">
        <v>484684</v>
      </c>
    </row>
    <row r="38" spans="1:20">
      <c r="A38" s="5" t="s">
        <v>59</v>
      </c>
      <c r="B38" s="6"/>
      <c r="C38" s="6"/>
      <c r="D38" s="6">
        <v>8950</v>
      </c>
      <c r="E38" s="6">
        <v>13425</v>
      </c>
      <c r="F38" s="6">
        <v>63725</v>
      </c>
      <c r="G38" s="6">
        <v>38350</v>
      </c>
      <c r="H38" s="6"/>
      <c r="I38" s="6"/>
      <c r="J38" s="6"/>
      <c r="K38" s="6">
        <v>29850</v>
      </c>
      <c r="L38" s="6"/>
      <c r="M38" s="6">
        <v>77125</v>
      </c>
      <c r="N38" s="6">
        <v>58200</v>
      </c>
      <c r="O38" s="6">
        <v>7475</v>
      </c>
      <c r="P38" s="6"/>
      <c r="Q38" s="6">
        <v>6950</v>
      </c>
      <c r="R38" s="6">
        <v>78600</v>
      </c>
      <c r="S38" s="6">
        <v>13425</v>
      </c>
      <c r="T38" s="6">
        <v>396075</v>
      </c>
    </row>
    <row r="39" spans="1:20">
      <c r="A39" s="5" t="s">
        <v>60</v>
      </c>
      <c r="B39" s="6"/>
      <c r="C39" s="6">
        <v>4225</v>
      </c>
      <c r="D39" s="6">
        <v>25375</v>
      </c>
      <c r="E39" s="6">
        <v>7475</v>
      </c>
      <c r="F39" s="6">
        <v>8950</v>
      </c>
      <c r="G39" s="6"/>
      <c r="H39" s="6"/>
      <c r="I39" s="6"/>
      <c r="J39" s="6"/>
      <c r="K39" s="6">
        <v>9950</v>
      </c>
      <c r="L39" s="6">
        <v>18900</v>
      </c>
      <c r="M39" s="6">
        <v>49250</v>
      </c>
      <c r="N39" s="6"/>
      <c r="O39" s="6">
        <v>8950</v>
      </c>
      <c r="P39" s="6"/>
      <c r="Q39" s="6"/>
      <c r="R39" s="6">
        <v>40300</v>
      </c>
      <c r="S39" s="6"/>
      <c r="T39" s="6">
        <v>173375</v>
      </c>
    </row>
    <row r="40" spans="1:20">
      <c r="A40" s="5" t="s">
        <v>61</v>
      </c>
      <c r="B40" s="6"/>
      <c r="C40" s="6"/>
      <c r="D40" s="6">
        <v>7500</v>
      </c>
      <c r="E40" s="6">
        <v>7500</v>
      </c>
      <c r="F40" s="6">
        <v>8950</v>
      </c>
      <c r="G40" s="6"/>
      <c r="H40" s="6"/>
      <c r="I40" s="6"/>
      <c r="J40" s="6"/>
      <c r="K40" s="6">
        <v>19900</v>
      </c>
      <c r="L40" s="6"/>
      <c r="M40" s="6">
        <v>6975</v>
      </c>
      <c r="N40" s="6"/>
      <c r="O40" s="6"/>
      <c r="P40" s="6"/>
      <c r="Q40" s="6">
        <v>6950</v>
      </c>
      <c r="R40" s="6">
        <v>6975</v>
      </c>
      <c r="S40" s="6"/>
      <c r="T40" s="6">
        <v>64750</v>
      </c>
    </row>
    <row r="41" spans="1:20">
      <c r="A41" s="5" t="s">
        <v>62</v>
      </c>
      <c r="B41" s="6"/>
      <c r="C41" s="6">
        <v>8950</v>
      </c>
      <c r="D41" s="6">
        <v>29900</v>
      </c>
      <c r="E41" s="6">
        <v>22425</v>
      </c>
      <c r="F41" s="6">
        <v>25850</v>
      </c>
      <c r="G41" s="6">
        <v>8950</v>
      </c>
      <c r="H41" s="6">
        <v>8950</v>
      </c>
      <c r="I41" s="6"/>
      <c r="J41" s="6">
        <v>17900</v>
      </c>
      <c r="K41" s="6">
        <v>18900</v>
      </c>
      <c r="L41" s="6">
        <v>8950</v>
      </c>
      <c r="M41" s="6">
        <v>21925</v>
      </c>
      <c r="N41" s="6"/>
      <c r="O41" s="6"/>
      <c r="P41" s="6"/>
      <c r="Q41" s="6">
        <v>6450</v>
      </c>
      <c r="R41" s="6">
        <v>14450</v>
      </c>
      <c r="S41" s="6"/>
      <c r="T41" s="6">
        <v>193600</v>
      </c>
    </row>
    <row r="42" spans="1:20">
      <c r="A42" s="5" t="s">
        <v>63</v>
      </c>
      <c r="B42" s="6"/>
      <c r="C42" s="6"/>
      <c r="D42" s="6"/>
      <c r="E42" s="6"/>
      <c r="F42" s="6"/>
      <c r="G42" s="6"/>
      <c r="H42" s="6"/>
      <c r="I42" s="6"/>
      <c r="J42" s="6">
        <v>9950</v>
      </c>
      <c r="K42" s="6"/>
      <c r="L42" s="6"/>
      <c r="M42" s="6"/>
      <c r="N42" s="6"/>
      <c r="O42" s="6"/>
      <c r="P42" s="6"/>
      <c r="Q42" s="6"/>
      <c r="R42" s="6"/>
      <c r="S42" s="6"/>
      <c r="T42" s="6">
        <v>9950</v>
      </c>
    </row>
    <row r="43" spans="1:20">
      <c r="A43" s="5" t="s">
        <v>23</v>
      </c>
      <c r="B43" s="6">
        <v>49610</v>
      </c>
      <c r="C43" s="6">
        <v>209482.5</v>
      </c>
      <c r="D43" s="6">
        <v>268409</v>
      </c>
      <c r="E43" s="6">
        <v>529851.67999999993</v>
      </c>
      <c r="F43" s="6">
        <v>740941.5</v>
      </c>
      <c r="G43" s="6">
        <v>641616.5</v>
      </c>
      <c r="H43" s="6">
        <v>34415</v>
      </c>
      <c r="I43" s="6">
        <v>180250</v>
      </c>
      <c r="J43" s="6">
        <v>180665</v>
      </c>
      <c r="K43" s="6">
        <v>191382.5</v>
      </c>
      <c r="L43" s="6">
        <v>132107.5</v>
      </c>
      <c r="M43" s="6">
        <v>711673</v>
      </c>
      <c r="N43" s="6">
        <v>438342.5</v>
      </c>
      <c r="O43" s="6">
        <v>263396.66000000003</v>
      </c>
      <c r="P43" s="6">
        <v>24845</v>
      </c>
      <c r="Q43" s="6">
        <v>69295</v>
      </c>
      <c r="R43" s="6">
        <v>715110</v>
      </c>
      <c r="S43" s="6">
        <v>523278.33</v>
      </c>
      <c r="T43" s="6">
        <v>5904671.6699999999</v>
      </c>
    </row>
    <row r="48" spans="1:20">
      <c r="C48" s="5"/>
      <c r="D48" s="6"/>
    </row>
    <row r="49" spans="3:4">
      <c r="C49" s="5"/>
      <c r="D49" s="6"/>
    </row>
    <row r="50" spans="3:4">
      <c r="C50" s="5"/>
      <c r="D50" s="6"/>
    </row>
    <row r="51" spans="3:4">
      <c r="C51" s="5"/>
      <c r="D51" s="6"/>
    </row>
    <row r="52" spans="3:4">
      <c r="C52" s="5"/>
      <c r="D52" s="6"/>
    </row>
    <row r="53" spans="3:4">
      <c r="C53" s="5"/>
      <c r="D53" s="6"/>
    </row>
    <row r="54" spans="3:4">
      <c r="C54" s="5"/>
      <c r="D54" s="6"/>
    </row>
    <row r="55" spans="3:4">
      <c r="C55" s="5"/>
      <c r="D55" s="6"/>
    </row>
    <row r="56" spans="3:4">
      <c r="C56" s="5"/>
      <c r="D56" s="6"/>
    </row>
    <row r="57" spans="3:4">
      <c r="C57" s="5"/>
      <c r="D57" s="6"/>
    </row>
    <row r="58" spans="3:4">
      <c r="C58" s="5"/>
      <c r="D58" s="6"/>
    </row>
    <row r="59" spans="3:4">
      <c r="C59" s="5"/>
      <c r="D59" s="6"/>
    </row>
    <row r="60" spans="3:4">
      <c r="C60" s="5"/>
      <c r="D60" s="6"/>
    </row>
    <row r="61" spans="3:4">
      <c r="C61" s="5"/>
      <c r="D61" s="6"/>
    </row>
    <row r="62" spans="3:4">
      <c r="C62" s="5"/>
      <c r="D62" s="6"/>
    </row>
    <row r="63" spans="3:4">
      <c r="C63" s="5"/>
      <c r="D63" s="6"/>
    </row>
    <row r="64" spans="3:4">
      <c r="C64" s="5"/>
      <c r="D64" s="6"/>
    </row>
    <row r="65" spans="3:15">
      <c r="C65" s="5"/>
      <c r="D65" s="6"/>
    </row>
    <row r="66" spans="3:15">
      <c r="C66" s="5"/>
      <c r="D66" s="6"/>
    </row>
    <row r="67" spans="3:15">
      <c r="C67" s="5"/>
      <c r="D67" s="6"/>
    </row>
    <row r="68" spans="3:15">
      <c r="C68" s="5"/>
      <c r="D68" s="6"/>
    </row>
    <row r="69" spans="3:15">
      <c r="C69" s="5"/>
      <c r="D69" s="6"/>
    </row>
    <row r="70" spans="3:15">
      <c r="C70" s="5"/>
      <c r="D70" s="6"/>
    </row>
    <row r="71" spans="3:15">
      <c r="C71" s="5"/>
      <c r="D71" s="6"/>
    </row>
    <row r="72" spans="3:15">
      <c r="C72" s="5"/>
      <c r="D72" s="6"/>
    </row>
    <row r="73" spans="3:15">
      <c r="C73" s="5"/>
      <c r="D73" s="6"/>
    </row>
    <row r="74" spans="3:15">
      <c r="C74" s="5"/>
      <c r="D74" s="6"/>
      <c r="O74" s="11"/>
    </row>
    <row r="75" spans="3:15">
      <c r="C75" s="5"/>
      <c r="D75" s="6"/>
    </row>
    <row r="76" spans="3:15">
      <c r="C76" s="5"/>
      <c r="D76" s="6"/>
    </row>
    <row r="77" spans="3:15">
      <c r="C77" s="5"/>
      <c r="D77" s="6"/>
    </row>
    <row r="78" spans="3:15">
      <c r="C78" s="5"/>
      <c r="D78" s="6"/>
    </row>
    <row r="79" spans="3:15">
      <c r="C79" s="5"/>
      <c r="D79" s="6"/>
    </row>
    <row r="80" spans="3:15">
      <c r="C80" s="5"/>
      <c r="D80" s="6"/>
    </row>
    <row r="81" spans="3:10">
      <c r="C81" s="5"/>
      <c r="D81" s="6"/>
      <c r="F81" s="7"/>
      <c r="I81" s="13"/>
      <c r="J81" s="12"/>
    </row>
    <row r="82" spans="3:10">
      <c r="C82" s="5"/>
      <c r="D82" s="6"/>
      <c r="F82" s="7"/>
    </row>
    <row r="83" spans="3:10">
      <c r="C83" s="5"/>
      <c r="D83" s="6"/>
      <c r="F83" s="7"/>
    </row>
    <row r="84" spans="3:10">
      <c r="C84" s="5"/>
      <c r="D84" s="6"/>
      <c r="F84" s="7"/>
    </row>
    <row r="85" spans="3:10">
      <c r="C85" s="5"/>
      <c r="D85" s="6"/>
      <c r="F85" s="7"/>
    </row>
    <row r="86" spans="3:10">
      <c r="F86" s="7"/>
    </row>
    <row r="87" spans="3:10">
      <c r="F87" s="7"/>
    </row>
    <row r="88" spans="3:10">
      <c r="F88" s="7"/>
    </row>
    <row r="93" spans="3:10">
      <c r="E93" s="7"/>
      <c r="F93" s="14"/>
    </row>
    <row r="94" spans="3:10">
      <c r="E94" s="7"/>
      <c r="F94" s="14"/>
      <c r="G94" s="14"/>
    </row>
    <row r="95" spans="3:10">
      <c r="E95" s="7"/>
      <c r="F95" s="14"/>
      <c r="G95" s="14"/>
    </row>
    <row r="96" spans="3:10">
      <c r="E96" s="7"/>
      <c r="F96" s="14"/>
      <c r="G96" s="14"/>
    </row>
    <row r="97" spans="5:7">
      <c r="E97" s="7"/>
      <c r="F97" s="14"/>
      <c r="G97" s="14"/>
    </row>
    <row r="98" spans="5:7">
      <c r="E98" s="7"/>
      <c r="F98" s="14"/>
      <c r="G98" s="14"/>
    </row>
    <row r="99" spans="5:7">
      <c r="E99" s="7"/>
      <c r="F99" s="14"/>
      <c r="G99" s="14"/>
    </row>
    <row r="100" spans="5:7">
      <c r="E100" s="7"/>
      <c r="F100" s="14"/>
      <c r="G100" s="14"/>
    </row>
    <row r="101" spans="5:7">
      <c r="E101" s="7"/>
      <c r="F101" s="14"/>
      <c r="G101" s="14"/>
    </row>
    <row r="102" spans="5:7">
      <c r="E102" s="7"/>
      <c r="F102" s="14"/>
      <c r="G102" s="14"/>
    </row>
    <row r="103" spans="5:7">
      <c r="E103" s="7"/>
      <c r="F103" s="14"/>
      <c r="G103" s="14"/>
    </row>
    <row r="104" spans="5:7">
      <c r="E104" s="7"/>
      <c r="F104" s="14"/>
      <c r="G104" s="14"/>
    </row>
    <row r="105" spans="5:7">
      <c r="E105" s="7"/>
      <c r="F105" s="14"/>
      <c r="G105" s="14"/>
    </row>
    <row r="106" spans="5:7">
      <c r="E106" s="7"/>
      <c r="F106" s="14"/>
      <c r="G106" s="14"/>
    </row>
    <row r="107" spans="5:7">
      <c r="E107" s="7"/>
      <c r="F107" s="14"/>
      <c r="G107" s="14"/>
    </row>
    <row r="108" spans="5:7">
      <c r="E108" s="7"/>
      <c r="F108" s="14"/>
      <c r="G108" s="14"/>
    </row>
    <row r="109" spans="5:7">
      <c r="E109" s="7"/>
      <c r="F109" s="14"/>
      <c r="G109" s="14"/>
    </row>
    <row r="110" spans="5:7">
      <c r="E110" s="7"/>
      <c r="F110" s="14"/>
      <c r="G110" s="14"/>
    </row>
    <row r="111" spans="5:7">
      <c r="E111" s="7"/>
      <c r="F111" s="14"/>
      <c r="G111" s="14"/>
    </row>
    <row r="112" spans="5:7">
      <c r="E112" s="7"/>
      <c r="F112" s="14"/>
      <c r="G112" s="14"/>
    </row>
    <row r="113" spans="5:7">
      <c r="E113" s="7"/>
      <c r="F113" s="14"/>
      <c r="G113" s="14"/>
    </row>
    <row r="114" spans="5:7">
      <c r="E114" s="7"/>
      <c r="F114" s="14"/>
      <c r="G114" s="14"/>
    </row>
    <row r="115" spans="5:7">
      <c r="E115" s="7"/>
      <c r="F115" s="14"/>
      <c r="G115" s="14"/>
    </row>
    <row r="116" spans="5:7">
      <c r="E116" s="7"/>
      <c r="F116" s="14"/>
      <c r="G116" s="14"/>
    </row>
    <row r="117" spans="5:7">
      <c r="E117" s="7"/>
      <c r="F117" s="14"/>
      <c r="G117" s="14"/>
    </row>
    <row r="118" spans="5:7">
      <c r="E118" s="7"/>
      <c r="F118" s="14"/>
      <c r="G118" s="14"/>
    </row>
    <row r="119" spans="5:7">
      <c r="E119" s="7"/>
      <c r="F119" s="14"/>
      <c r="G119" s="14"/>
    </row>
    <row r="120" spans="5:7">
      <c r="E120" s="7"/>
      <c r="F120" s="14"/>
      <c r="G120" s="14"/>
    </row>
    <row r="121" spans="5:7">
      <c r="E121" s="7"/>
      <c r="F121" s="14"/>
      <c r="G121" s="14"/>
    </row>
    <row r="122" spans="5:7">
      <c r="E122" s="7"/>
      <c r="F122" s="14"/>
      <c r="G122" s="14"/>
    </row>
    <row r="123" spans="5:7">
      <c r="E123" s="7"/>
      <c r="F123" s="14"/>
      <c r="G123" s="14"/>
    </row>
    <row r="124" spans="5:7">
      <c r="E124" s="7"/>
      <c r="F124" s="14"/>
      <c r="G124" s="14"/>
    </row>
    <row r="125" spans="5:7">
      <c r="E125" s="7"/>
      <c r="F125" s="14"/>
      <c r="G125" s="14"/>
    </row>
    <row r="126" spans="5:7">
      <c r="E126" s="7"/>
      <c r="F126" s="14"/>
      <c r="G126" s="14"/>
    </row>
    <row r="127" spans="5:7">
      <c r="E127" s="7"/>
      <c r="F127" s="14"/>
      <c r="G127" s="14"/>
    </row>
    <row r="128" spans="5:7">
      <c r="E128" s="7"/>
      <c r="F128" s="14"/>
      <c r="G128" s="14"/>
    </row>
    <row r="129" spans="5:7">
      <c r="E129" s="7"/>
      <c r="F129" s="14"/>
      <c r="G129" s="14"/>
    </row>
    <row r="130" spans="5:7">
      <c r="E130" s="7"/>
      <c r="F130" s="14"/>
      <c r="G130" s="14"/>
    </row>
    <row r="131" spans="5:7">
      <c r="E131" s="7"/>
      <c r="F131" s="14"/>
      <c r="G131" s="14"/>
    </row>
    <row r="132" spans="5:7">
      <c r="E132" s="7"/>
      <c r="F132" s="14"/>
      <c r="G132" s="14"/>
    </row>
    <row r="133" spans="5:7">
      <c r="E133" s="7"/>
      <c r="F133" s="14"/>
      <c r="G13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5329-A3BD-D646-BD29-52CCE8FF0FBD}">
  <dimension ref="B4:H16"/>
  <sheetViews>
    <sheetView zoomScale="75" workbookViewId="0">
      <selection activeCell="F20" sqref="F20"/>
    </sheetView>
  </sheetViews>
  <sheetFormatPr baseColWidth="10" defaultRowHeight="14"/>
  <cols>
    <col min="2" max="2" width="10.1640625" bestFit="1" customWidth="1"/>
    <col min="3" max="3" width="36" bestFit="1" customWidth="1"/>
    <col min="4" max="4" width="21.33203125" bestFit="1" customWidth="1"/>
    <col min="5" max="5" width="20.33203125" bestFit="1" customWidth="1"/>
    <col min="6" max="6" width="16.83203125" bestFit="1" customWidth="1"/>
    <col min="7" max="7" width="18.1640625" bestFit="1" customWidth="1"/>
  </cols>
  <sheetData>
    <row r="4" spans="2:8">
      <c r="B4" t="s">
        <v>64</v>
      </c>
      <c r="C4" t="s">
        <v>65</v>
      </c>
      <c r="D4" t="s">
        <v>66</v>
      </c>
      <c r="E4" t="s">
        <v>70</v>
      </c>
      <c r="F4" t="s">
        <v>71</v>
      </c>
      <c r="G4" t="s">
        <v>86</v>
      </c>
    </row>
    <row r="5" spans="2:8">
      <c r="B5" s="7">
        <v>46242</v>
      </c>
      <c r="C5" t="s">
        <v>67</v>
      </c>
      <c r="D5">
        <v>10913</v>
      </c>
      <c r="E5" s="13">
        <v>6855</v>
      </c>
      <c r="F5" s="12">
        <f>E5/D5 *100</f>
        <v>62.81499129478604</v>
      </c>
      <c r="G5" t="s">
        <v>80</v>
      </c>
    </row>
    <row r="6" spans="2:8">
      <c r="B6" s="7">
        <v>46242</v>
      </c>
      <c r="C6" t="s">
        <v>68</v>
      </c>
      <c r="D6">
        <v>5836</v>
      </c>
      <c r="E6">
        <v>1837</v>
      </c>
      <c r="F6" s="12">
        <f t="shared" ref="F6:F16" si="0">E6/D6 *100</f>
        <v>31.477039067854694</v>
      </c>
      <c r="G6" t="s">
        <v>75</v>
      </c>
    </row>
    <row r="7" spans="2:8">
      <c r="B7" s="7">
        <v>46242</v>
      </c>
      <c r="C7" s="17" t="s">
        <v>69</v>
      </c>
      <c r="D7">
        <v>3478</v>
      </c>
      <c r="E7">
        <v>1216</v>
      </c>
      <c r="F7" s="12">
        <f t="shared" si="0"/>
        <v>34.962622196664753</v>
      </c>
      <c r="G7" t="s">
        <v>75</v>
      </c>
      <c r="H7" t="s">
        <v>73</v>
      </c>
    </row>
    <row r="8" spans="2:8">
      <c r="B8" s="7">
        <v>46242</v>
      </c>
      <c r="C8" t="s">
        <v>79</v>
      </c>
      <c r="D8">
        <v>8078</v>
      </c>
      <c r="E8">
        <v>4481</v>
      </c>
      <c r="F8" s="12">
        <f t="shared" si="0"/>
        <v>55.471651398861098</v>
      </c>
      <c r="G8" t="s">
        <v>80</v>
      </c>
    </row>
    <row r="9" spans="2:8">
      <c r="B9" s="7">
        <v>46242</v>
      </c>
      <c r="C9" t="s">
        <v>74</v>
      </c>
      <c r="D9">
        <v>2059</v>
      </c>
      <c r="E9">
        <v>498</v>
      </c>
      <c r="F9" s="12">
        <f t="shared" si="0"/>
        <v>24.186498300145701</v>
      </c>
      <c r="G9" t="s">
        <v>75</v>
      </c>
    </row>
    <row r="10" spans="2:8">
      <c r="B10" s="7">
        <v>46242</v>
      </c>
      <c r="C10" t="s">
        <v>77</v>
      </c>
      <c r="D10">
        <v>11974</v>
      </c>
      <c r="E10">
        <v>1328</v>
      </c>
      <c r="F10" s="12">
        <f t="shared" si="0"/>
        <v>11.090696509103056</v>
      </c>
      <c r="G10" t="s">
        <v>76</v>
      </c>
    </row>
    <row r="11" spans="2:8">
      <c r="B11" s="7">
        <v>46242</v>
      </c>
      <c r="C11" t="s">
        <v>78</v>
      </c>
      <c r="D11">
        <v>5008</v>
      </c>
      <c r="E11">
        <v>1757</v>
      </c>
      <c r="F11" s="12">
        <f t="shared" si="0"/>
        <v>35.083865814696487</v>
      </c>
      <c r="G11" t="s">
        <v>75</v>
      </c>
      <c r="H11" t="s">
        <v>90</v>
      </c>
    </row>
    <row r="12" spans="2:8">
      <c r="B12" s="7">
        <v>46242</v>
      </c>
      <c r="C12" t="s">
        <v>72</v>
      </c>
      <c r="D12">
        <v>8077</v>
      </c>
      <c r="E12">
        <v>4481</v>
      </c>
      <c r="F12" s="12">
        <f t="shared" si="0"/>
        <v>55.4785192521976</v>
      </c>
      <c r="G12" t="s">
        <v>75</v>
      </c>
      <c r="H12" t="s">
        <v>89</v>
      </c>
    </row>
    <row r="13" spans="2:8">
      <c r="B13" s="7">
        <v>46243</v>
      </c>
      <c r="C13" t="s">
        <v>87</v>
      </c>
      <c r="D13">
        <v>8097</v>
      </c>
      <c r="E13">
        <v>2108</v>
      </c>
      <c r="F13" s="12">
        <f t="shared" si="0"/>
        <v>26.034333703840929</v>
      </c>
      <c r="G13" t="s">
        <v>75</v>
      </c>
    </row>
    <row r="14" spans="2:8">
      <c r="B14" s="7">
        <v>46243</v>
      </c>
      <c r="C14" t="s">
        <v>88</v>
      </c>
      <c r="F14" s="12"/>
      <c r="G14" t="s">
        <v>80</v>
      </c>
    </row>
    <row r="15" spans="2:8">
      <c r="B15" s="7">
        <v>46243</v>
      </c>
      <c r="F15" s="12"/>
    </row>
    <row r="16" spans="2:8">
      <c r="B16" s="7">
        <v>46243</v>
      </c>
      <c r="F16" s="12"/>
    </row>
  </sheetData>
  <hyperlinks>
    <hyperlink ref="C7" r:id="rId1" xr:uid="{3D25856D-CA90-874D-89FC-83386901F9C1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B173-3AF1-EE43-AA9F-7703E6304F4C}">
  <dimension ref="A2:J40"/>
  <sheetViews>
    <sheetView workbookViewId="0">
      <selection activeCell="D26" sqref="D26:J36"/>
    </sheetView>
  </sheetViews>
  <sheetFormatPr baseColWidth="10" defaultRowHeight="14"/>
  <cols>
    <col min="1" max="1" width="6.83203125" bestFit="1" customWidth="1"/>
    <col min="2" max="2" width="18.83203125" bestFit="1" customWidth="1"/>
  </cols>
  <sheetData>
    <row r="2" spans="1:2">
      <c r="A2" t="s">
        <v>64</v>
      </c>
      <c r="B2" t="s">
        <v>85</v>
      </c>
    </row>
    <row r="3" spans="1:2">
      <c r="A3" s="5" t="s">
        <v>26</v>
      </c>
      <c r="B3" s="6">
        <v>84130</v>
      </c>
    </row>
    <row r="4" spans="1:2">
      <c r="A4" s="5" t="s">
        <v>27</v>
      </c>
      <c r="B4" s="6">
        <v>67110</v>
      </c>
    </row>
    <row r="5" spans="1:2">
      <c r="A5" s="5" t="s">
        <v>28</v>
      </c>
      <c r="B5" s="6">
        <v>62445</v>
      </c>
    </row>
    <row r="6" spans="1:2">
      <c r="A6" s="5" t="s">
        <v>29</v>
      </c>
      <c r="B6" s="6">
        <v>54995</v>
      </c>
    </row>
    <row r="7" spans="1:2">
      <c r="A7" s="5" t="s">
        <v>30</v>
      </c>
      <c r="B7" s="6">
        <v>275015</v>
      </c>
    </row>
    <row r="8" spans="1:2">
      <c r="A8" s="5" t="s">
        <v>31</v>
      </c>
      <c r="B8" s="6">
        <v>524091.67</v>
      </c>
    </row>
    <row r="9" spans="1:2">
      <c r="A9" s="5" t="s">
        <v>32</v>
      </c>
      <c r="B9" s="6">
        <v>205590</v>
      </c>
    </row>
    <row r="10" spans="1:2">
      <c r="A10" s="5" t="s">
        <v>33</v>
      </c>
      <c r="B10" s="6">
        <v>96330</v>
      </c>
    </row>
    <row r="11" spans="1:2">
      <c r="A11" s="5" t="s">
        <v>34</v>
      </c>
      <c r="B11" s="6">
        <v>114930</v>
      </c>
    </row>
    <row r="12" spans="1:2">
      <c r="A12" s="5" t="s">
        <v>35</v>
      </c>
      <c r="B12" s="6">
        <v>72810</v>
      </c>
    </row>
    <row r="13" spans="1:2">
      <c r="A13" s="5" t="s">
        <v>36</v>
      </c>
      <c r="B13" s="6">
        <v>76690</v>
      </c>
    </row>
    <row r="14" spans="1:2">
      <c r="A14" s="5" t="s">
        <v>37</v>
      </c>
      <c r="B14" s="6">
        <v>48345</v>
      </c>
    </row>
    <row r="15" spans="1:2">
      <c r="A15" s="5" t="s">
        <v>38</v>
      </c>
      <c r="B15" s="6">
        <v>43085</v>
      </c>
    </row>
    <row r="16" spans="1:2">
      <c r="A16" s="5" t="s">
        <v>39</v>
      </c>
      <c r="B16" s="6">
        <v>33185</v>
      </c>
    </row>
    <row r="17" spans="1:10">
      <c r="A17" s="5" t="s">
        <v>40</v>
      </c>
      <c r="B17" s="6">
        <v>61110</v>
      </c>
    </row>
    <row r="18" spans="1:10">
      <c r="A18" s="5" t="s">
        <v>41</v>
      </c>
      <c r="B18" s="6">
        <v>56380</v>
      </c>
    </row>
    <row r="19" spans="1:10">
      <c r="A19" s="5" t="s">
        <v>42</v>
      </c>
      <c r="B19" s="6">
        <v>52585</v>
      </c>
    </row>
    <row r="20" spans="1:10">
      <c r="A20" s="5" t="s">
        <v>43</v>
      </c>
      <c r="B20" s="6">
        <v>28145</v>
      </c>
    </row>
    <row r="21" spans="1:10">
      <c r="A21" s="5" t="s">
        <v>44</v>
      </c>
      <c r="B21" s="6">
        <v>251150</v>
      </c>
    </row>
    <row r="22" spans="1:10">
      <c r="A22" s="5" t="s">
        <v>45</v>
      </c>
      <c r="B22" s="6">
        <v>394495</v>
      </c>
    </row>
    <row r="23" spans="1:10">
      <c r="A23" s="5" t="s">
        <v>46</v>
      </c>
      <c r="B23" s="6">
        <v>184073</v>
      </c>
    </row>
    <row r="24" spans="1:10">
      <c r="A24" s="5" t="s">
        <v>47</v>
      </c>
      <c r="B24" s="6">
        <v>141650</v>
      </c>
    </row>
    <row r="25" spans="1:10">
      <c r="A25" s="5" t="s">
        <v>48</v>
      </c>
      <c r="B25" s="6">
        <v>84075</v>
      </c>
    </row>
    <row r="26" spans="1:10">
      <c r="A26" s="5" t="s">
        <v>49</v>
      </c>
      <c r="B26" s="6">
        <v>137425</v>
      </c>
      <c r="D26" s="18" t="s">
        <v>94</v>
      </c>
      <c r="E26" s="18"/>
      <c r="F26" s="18"/>
      <c r="G26" s="18"/>
      <c r="H26" s="18"/>
      <c r="I26" s="18"/>
      <c r="J26" s="18"/>
    </row>
    <row r="27" spans="1:10">
      <c r="A27" s="5" t="s">
        <v>50</v>
      </c>
      <c r="B27" s="6">
        <v>60200</v>
      </c>
      <c r="D27" s="18"/>
      <c r="E27" s="18"/>
      <c r="F27" s="18"/>
      <c r="G27" s="18"/>
      <c r="H27" s="18"/>
      <c r="I27" s="18"/>
      <c r="J27" s="18"/>
    </row>
    <row r="28" spans="1:10">
      <c r="A28" s="5" t="s">
        <v>51</v>
      </c>
      <c r="B28" s="6">
        <v>95525</v>
      </c>
      <c r="D28" s="18"/>
      <c r="E28" s="18"/>
      <c r="F28" s="18"/>
      <c r="G28" s="18"/>
      <c r="H28" s="18"/>
      <c r="I28" s="18"/>
      <c r="J28" s="18"/>
    </row>
    <row r="29" spans="1:10">
      <c r="A29" s="5" t="s">
        <v>52</v>
      </c>
      <c r="B29" s="6">
        <v>176340</v>
      </c>
      <c r="D29" s="18"/>
      <c r="E29" s="18"/>
      <c r="F29" s="18"/>
      <c r="G29" s="18"/>
      <c r="H29" s="18"/>
      <c r="I29" s="18"/>
      <c r="J29" s="18"/>
    </row>
    <row r="30" spans="1:10">
      <c r="A30" s="5" t="s">
        <v>53</v>
      </c>
      <c r="B30" s="6">
        <v>206188</v>
      </c>
      <c r="D30" s="18"/>
      <c r="E30" s="18"/>
      <c r="F30" s="18"/>
      <c r="G30" s="18"/>
      <c r="H30" s="18"/>
      <c r="I30" s="18"/>
      <c r="J30" s="18"/>
    </row>
    <row r="31" spans="1:10">
      <c r="A31" s="5" t="s">
        <v>54</v>
      </c>
      <c r="B31" s="6">
        <v>226880</v>
      </c>
      <c r="D31" s="18"/>
      <c r="E31" s="18"/>
      <c r="F31" s="18"/>
      <c r="G31" s="18"/>
      <c r="H31" s="18"/>
      <c r="I31" s="18"/>
      <c r="J31" s="18"/>
    </row>
    <row r="32" spans="1:10">
      <c r="A32" s="5" t="s">
        <v>55</v>
      </c>
      <c r="B32" s="6">
        <v>217280</v>
      </c>
      <c r="D32" s="18"/>
      <c r="E32" s="18"/>
      <c r="F32" s="18"/>
      <c r="G32" s="18"/>
      <c r="H32" s="18"/>
      <c r="I32" s="18"/>
      <c r="J32" s="18"/>
    </row>
    <row r="33" spans="1:10">
      <c r="A33" s="5" t="s">
        <v>56</v>
      </c>
      <c r="B33" s="6">
        <v>180400</v>
      </c>
      <c r="D33" s="18"/>
      <c r="E33" s="18"/>
      <c r="F33" s="18"/>
      <c r="G33" s="18"/>
      <c r="H33" s="18"/>
      <c r="I33" s="18"/>
      <c r="J33" s="18"/>
    </row>
    <row r="34" spans="1:10">
      <c r="A34" s="5" t="s">
        <v>57</v>
      </c>
      <c r="B34" s="6">
        <v>269585</v>
      </c>
      <c r="D34" s="18"/>
      <c r="E34" s="18"/>
      <c r="F34" s="18"/>
      <c r="G34" s="18"/>
      <c r="H34" s="18"/>
      <c r="I34" s="18"/>
      <c r="J34" s="18"/>
    </row>
    <row r="35" spans="1:10">
      <c r="A35" s="5" t="s">
        <v>58</v>
      </c>
      <c r="B35" s="6">
        <v>484684</v>
      </c>
      <c r="D35" s="18"/>
      <c r="E35" s="18"/>
      <c r="F35" s="18"/>
      <c r="G35" s="18"/>
      <c r="H35" s="18"/>
      <c r="I35" s="18"/>
      <c r="J35" s="18"/>
    </row>
    <row r="36" spans="1:10">
      <c r="A36" s="5" t="s">
        <v>59</v>
      </c>
      <c r="B36" s="6">
        <v>396075</v>
      </c>
      <c r="D36" s="18"/>
      <c r="E36" s="18"/>
      <c r="F36" s="18"/>
      <c r="G36" s="18"/>
      <c r="H36" s="18"/>
      <c r="I36" s="18"/>
      <c r="J36" s="18"/>
    </row>
    <row r="37" spans="1:10">
      <c r="A37" s="5" t="s">
        <v>60</v>
      </c>
      <c r="B37" s="6">
        <v>173375</v>
      </c>
    </row>
    <row r="38" spans="1:10">
      <c r="A38" s="5" t="s">
        <v>61</v>
      </c>
      <c r="B38" s="6">
        <v>64750</v>
      </c>
    </row>
    <row r="39" spans="1:10">
      <c r="A39" s="5" t="s">
        <v>62</v>
      </c>
      <c r="B39" s="6">
        <v>193600</v>
      </c>
    </row>
    <row r="40" spans="1:10">
      <c r="A40" s="5" t="s">
        <v>63</v>
      </c>
      <c r="B40" s="6">
        <v>9950</v>
      </c>
    </row>
  </sheetData>
  <mergeCells count="1">
    <mergeCell ref="D26:J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93AE-C951-4942-BFE8-7F5F8E7CDA2E}">
  <dimension ref="A1:L42"/>
  <sheetViews>
    <sheetView topLeftCell="C1" zoomScale="57" workbookViewId="0">
      <selection activeCell="N27" sqref="N27"/>
    </sheetView>
  </sheetViews>
  <sheetFormatPr baseColWidth="10" defaultRowHeight="14"/>
  <cols>
    <col min="1" max="1" width="17.83203125" bestFit="1" customWidth="1"/>
    <col min="2" max="2" width="17.1640625" bestFit="1" customWidth="1"/>
    <col min="3" max="3" width="26.1640625" bestFit="1" customWidth="1"/>
  </cols>
  <sheetData>
    <row r="1" spans="1:12">
      <c r="A1" t="s">
        <v>81</v>
      </c>
      <c r="B1" t="s">
        <v>82</v>
      </c>
      <c r="C1" t="s">
        <v>83</v>
      </c>
    </row>
    <row r="2" spans="1:12">
      <c r="A2" s="7">
        <v>46235</v>
      </c>
      <c r="B2" s="14">
        <v>43126</v>
      </c>
      <c r="C2">
        <v>0</v>
      </c>
      <c r="E2" s="19" t="s">
        <v>95</v>
      </c>
      <c r="F2" s="16"/>
      <c r="G2" s="16"/>
      <c r="H2" s="16"/>
      <c r="I2" s="16"/>
      <c r="J2" s="16"/>
      <c r="K2" s="16"/>
      <c r="L2" s="16"/>
    </row>
    <row r="3" spans="1:12">
      <c r="A3" s="7">
        <v>46236</v>
      </c>
      <c r="B3" s="14">
        <v>43144</v>
      </c>
      <c r="C3" s="14">
        <f>B3-B2</f>
        <v>18</v>
      </c>
      <c r="E3" s="16"/>
      <c r="F3" s="16"/>
      <c r="G3" s="16"/>
      <c r="H3" s="16"/>
      <c r="I3" s="16"/>
      <c r="J3" s="16"/>
      <c r="K3" s="16"/>
      <c r="L3" s="16"/>
    </row>
    <row r="4" spans="1:12">
      <c r="A4" s="7">
        <v>46237</v>
      </c>
      <c r="B4" s="14">
        <v>43175</v>
      </c>
      <c r="C4" s="14">
        <f t="shared" ref="C4:C42" si="0">B4-B3</f>
        <v>31</v>
      </c>
      <c r="E4" s="16"/>
      <c r="F4" s="16"/>
      <c r="G4" s="16"/>
      <c r="H4" s="16"/>
      <c r="I4" s="16"/>
      <c r="J4" s="16"/>
      <c r="K4" s="16"/>
      <c r="L4" s="16"/>
    </row>
    <row r="5" spans="1:12">
      <c r="A5" s="7">
        <v>46238</v>
      </c>
      <c r="B5" s="14">
        <v>43186</v>
      </c>
      <c r="C5" s="14">
        <f t="shared" si="0"/>
        <v>11</v>
      </c>
      <c r="E5" s="16"/>
      <c r="F5" s="16"/>
      <c r="G5" s="16"/>
      <c r="H5" s="16"/>
      <c r="I5" s="16"/>
      <c r="J5" s="16"/>
      <c r="K5" s="16"/>
      <c r="L5" s="16"/>
    </row>
    <row r="6" spans="1:12">
      <c r="A6" s="7">
        <v>46239</v>
      </c>
      <c r="B6" s="14">
        <v>43204</v>
      </c>
      <c r="C6" s="14">
        <f t="shared" si="0"/>
        <v>18</v>
      </c>
      <c r="E6" s="16"/>
      <c r="F6" s="16"/>
      <c r="G6" s="16"/>
      <c r="H6" s="16"/>
      <c r="I6" s="16"/>
      <c r="J6" s="16"/>
      <c r="K6" s="16"/>
      <c r="L6" s="16"/>
    </row>
    <row r="7" spans="1:12">
      <c r="A7" s="7">
        <v>46240</v>
      </c>
      <c r="B7" s="14">
        <v>43221</v>
      </c>
      <c r="C7" s="14">
        <f t="shared" si="0"/>
        <v>17</v>
      </c>
      <c r="E7" s="16"/>
      <c r="F7" s="16"/>
      <c r="G7" s="16"/>
      <c r="H7" s="16"/>
      <c r="I7" s="16"/>
      <c r="J7" s="16"/>
      <c r="K7" s="16"/>
      <c r="L7" s="16"/>
    </row>
    <row r="8" spans="1:12">
      <c r="A8" s="7">
        <v>46241</v>
      </c>
      <c r="B8" s="14">
        <v>43230</v>
      </c>
      <c r="C8" s="14">
        <f t="shared" si="0"/>
        <v>9</v>
      </c>
      <c r="E8" s="16"/>
      <c r="F8" s="16"/>
      <c r="G8" s="16"/>
      <c r="H8" s="16"/>
      <c r="I8" s="16"/>
      <c r="J8" s="16"/>
      <c r="K8" s="16"/>
      <c r="L8" s="16"/>
    </row>
    <row r="9" spans="1:12">
      <c r="A9" s="7">
        <v>46242</v>
      </c>
      <c r="B9" s="14">
        <v>43272</v>
      </c>
      <c r="C9" s="14">
        <f t="shared" si="0"/>
        <v>42</v>
      </c>
      <c r="E9" s="16"/>
      <c r="F9" s="16"/>
      <c r="G9" s="16"/>
      <c r="H9" s="16"/>
      <c r="I9" s="16"/>
      <c r="J9" s="16"/>
      <c r="K9" s="16"/>
      <c r="L9" s="16"/>
    </row>
    <row r="10" spans="1:12">
      <c r="A10" s="7">
        <v>46243</v>
      </c>
      <c r="B10" s="14">
        <v>43302</v>
      </c>
      <c r="C10" s="14">
        <f t="shared" si="0"/>
        <v>30</v>
      </c>
      <c r="E10" s="16"/>
      <c r="F10" s="16"/>
      <c r="G10" s="16"/>
      <c r="H10" s="16"/>
      <c r="I10" s="16"/>
      <c r="J10" s="16"/>
      <c r="K10" s="16"/>
      <c r="L10" s="16"/>
    </row>
    <row r="11" spans="1:12">
      <c r="A11" s="7">
        <v>46244</v>
      </c>
      <c r="B11" s="14">
        <v>43421</v>
      </c>
      <c r="C11" s="14">
        <f t="shared" si="0"/>
        <v>119</v>
      </c>
      <c r="E11" s="16"/>
      <c r="F11" s="16"/>
      <c r="G11" s="16"/>
      <c r="H11" s="16"/>
      <c r="I11" s="16"/>
      <c r="J11" s="16"/>
      <c r="K11" s="16"/>
      <c r="L11" s="16"/>
    </row>
    <row r="12" spans="1:12">
      <c r="A12" s="7">
        <v>46245</v>
      </c>
      <c r="B12" s="14">
        <v>43445</v>
      </c>
      <c r="C12" s="14">
        <f t="shared" si="0"/>
        <v>24</v>
      </c>
      <c r="E12" s="16"/>
      <c r="F12" s="16"/>
      <c r="G12" s="16"/>
      <c r="H12" s="16"/>
      <c r="I12" s="16"/>
      <c r="J12" s="16"/>
      <c r="K12" s="16"/>
      <c r="L12" s="16"/>
    </row>
    <row r="13" spans="1:12">
      <c r="A13" s="7">
        <v>46246</v>
      </c>
      <c r="B13" s="14">
        <v>43493</v>
      </c>
      <c r="C13" s="14">
        <f t="shared" si="0"/>
        <v>48</v>
      </c>
      <c r="E13" s="16"/>
      <c r="F13" s="16"/>
      <c r="G13" s="16"/>
      <c r="H13" s="16"/>
      <c r="I13" s="16"/>
      <c r="J13" s="16"/>
      <c r="K13" s="16"/>
      <c r="L13" s="16"/>
    </row>
    <row r="14" spans="1:12">
      <c r="A14" s="7">
        <v>46247</v>
      </c>
      <c r="B14" s="14">
        <v>43530</v>
      </c>
      <c r="C14" s="14">
        <f t="shared" si="0"/>
        <v>37</v>
      </c>
      <c r="E14" s="16"/>
      <c r="F14" s="16"/>
      <c r="G14" s="16"/>
      <c r="H14" s="16"/>
      <c r="I14" s="16"/>
      <c r="J14" s="16"/>
      <c r="K14" s="16"/>
      <c r="L14" s="16"/>
    </row>
    <row r="15" spans="1:12">
      <c r="A15" s="7">
        <v>46248</v>
      </c>
      <c r="B15" s="14">
        <v>43651</v>
      </c>
      <c r="C15" s="14">
        <f t="shared" si="0"/>
        <v>121</v>
      </c>
      <c r="E15" s="16"/>
      <c r="F15" s="16"/>
      <c r="G15" s="16"/>
      <c r="H15" s="16"/>
      <c r="I15" s="16"/>
      <c r="J15" s="16"/>
      <c r="K15" s="16"/>
      <c r="L15" s="16"/>
    </row>
    <row r="16" spans="1:12">
      <c r="A16" s="7">
        <v>46249</v>
      </c>
      <c r="B16" s="14">
        <v>43636</v>
      </c>
      <c r="C16" s="14">
        <f t="shared" si="0"/>
        <v>-15</v>
      </c>
      <c r="E16" s="16"/>
      <c r="F16" s="16"/>
      <c r="G16" s="16"/>
      <c r="H16" s="16"/>
      <c r="I16" s="16"/>
      <c r="J16" s="16"/>
      <c r="K16" s="16"/>
      <c r="L16" s="16"/>
    </row>
    <row r="17" spans="1:12">
      <c r="A17" s="7">
        <v>46250</v>
      </c>
      <c r="B17" s="14">
        <v>43669</v>
      </c>
      <c r="C17" s="14">
        <f t="shared" si="0"/>
        <v>33</v>
      </c>
      <c r="E17" s="16"/>
      <c r="F17" s="16"/>
      <c r="G17" s="16"/>
      <c r="H17" s="16"/>
      <c r="I17" s="16"/>
      <c r="J17" s="16"/>
      <c r="K17" s="16"/>
      <c r="L17" s="16"/>
    </row>
    <row r="18" spans="1:12">
      <c r="A18" s="7">
        <v>46251</v>
      </c>
      <c r="B18" s="14">
        <v>43693</v>
      </c>
      <c r="C18" s="14">
        <f t="shared" si="0"/>
        <v>24</v>
      </c>
      <c r="E18" s="16"/>
      <c r="F18" s="16"/>
      <c r="G18" s="16"/>
      <c r="H18" s="16"/>
      <c r="I18" s="16"/>
      <c r="J18" s="16"/>
      <c r="K18" s="16"/>
      <c r="L18" s="16"/>
    </row>
    <row r="19" spans="1:12">
      <c r="A19" s="7">
        <v>46252</v>
      </c>
      <c r="B19" s="14">
        <v>43719</v>
      </c>
      <c r="C19" s="14">
        <f t="shared" si="0"/>
        <v>26</v>
      </c>
    </row>
    <row r="20" spans="1:12">
      <c r="A20" s="7">
        <v>46253</v>
      </c>
      <c r="B20" s="14">
        <v>43787</v>
      </c>
      <c r="C20" s="14">
        <f t="shared" si="0"/>
        <v>68</v>
      </c>
    </row>
    <row r="21" spans="1:12">
      <c r="A21" s="7">
        <v>46254</v>
      </c>
      <c r="B21" s="14">
        <v>43816</v>
      </c>
      <c r="C21" s="14">
        <f t="shared" si="0"/>
        <v>29</v>
      </c>
    </row>
    <row r="22" spans="1:12">
      <c r="A22" s="7">
        <v>46255</v>
      </c>
      <c r="B22" s="14">
        <v>43868</v>
      </c>
      <c r="C22" s="14">
        <f t="shared" si="0"/>
        <v>52</v>
      </c>
    </row>
    <row r="23" spans="1:12">
      <c r="A23" s="7">
        <v>46256</v>
      </c>
      <c r="B23" s="14">
        <v>43935</v>
      </c>
      <c r="C23" s="14">
        <f t="shared" si="0"/>
        <v>67</v>
      </c>
    </row>
    <row r="24" spans="1:12">
      <c r="A24" s="7">
        <v>46257</v>
      </c>
      <c r="B24" s="14">
        <v>43969</v>
      </c>
      <c r="C24" s="14">
        <f t="shared" si="0"/>
        <v>34</v>
      </c>
    </row>
    <row r="25" spans="1:12">
      <c r="A25" s="7">
        <v>46258</v>
      </c>
      <c r="B25" s="14">
        <v>44014</v>
      </c>
      <c r="C25" s="14">
        <f t="shared" si="0"/>
        <v>45</v>
      </c>
    </row>
    <row r="26" spans="1:12">
      <c r="A26" s="7">
        <v>46259</v>
      </c>
      <c r="B26" s="14">
        <v>44027</v>
      </c>
      <c r="C26" s="14">
        <f t="shared" si="0"/>
        <v>13</v>
      </c>
    </row>
    <row r="27" spans="1:12">
      <c r="A27" s="7">
        <v>46260</v>
      </c>
      <c r="B27" s="14">
        <v>44109</v>
      </c>
      <c r="C27" s="14">
        <f t="shared" si="0"/>
        <v>82</v>
      </c>
    </row>
    <row r="28" spans="1:12">
      <c r="A28" s="7">
        <v>46261</v>
      </c>
      <c r="B28" s="14">
        <v>44133</v>
      </c>
      <c r="C28" s="14">
        <f t="shared" si="0"/>
        <v>24</v>
      </c>
    </row>
    <row r="29" spans="1:12">
      <c r="A29" s="7">
        <v>46262</v>
      </c>
      <c r="B29" s="14">
        <v>44181</v>
      </c>
      <c r="C29" s="14">
        <f t="shared" si="0"/>
        <v>48</v>
      </c>
    </row>
    <row r="30" spans="1:12">
      <c r="A30" s="7">
        <v>46263</v>
      </c>
      <c r="B30" s="14">
        <v>44251</v>
      </c>
      <c r="C30" s="14">
        <f t="shared" si="0"/>
        <v>70</v>
      </c>
    </row>
    <row r="31" spans="1:12">
      <c r="A31" s="7">
        <v>46264</v>
      </c>
      <c r="B31" s="14">
        <v>44337</v>
      </c>
      <c r="C31" s="14">
        <f t="shared" si="0"/>
        <v>86</v>
      </c>
    </row>
    <row r="32" spans="1:12">
      <c r="A32" s="7">
        <v>46265</v>
      </c>
      <c r="B32" s="14">
        <v>44389</v>
      </c>
      <c r="C32" s="14">
        <f t="shared" si="0"/>
        <v>52</v>
      </c>
    </row>
    <row r="33" spans="1:10">
      <c r="A33" s="7">
        <v>46266</v>
      </c>
      <c r="B33" s="14">
        <v>44438</v>
      </c>
      <c r="C33" s="14">
        <f t="shared" si="0"/>
        <v>49</v>
      </c>
    </row>
    <row r="34" spans="1:10">
      <c r="A34" s="7">
        <v>46267</v>
      </c>
      <c r="B34" s="14">
        <v>44495</v>
      </c>
      <c r="C34" s="14">
        <f t="shared" si="0"/>
        <v>57</v>
      </c>
    </row>
    <row r="35" spans="1:10">
      <c r="A35" s="7">
        <v>46268</v>
      </c>
      <c r="B35" s="14">
        <v>44550</v>
      </c>
      <c r="C35" s="14">
        <f t="shared" si="0"/>
        <v>55</v>
      </c>
    </row>
    <row r="36" spans="1:10">
      <c r="A36" s="7">
        <v>46269</v>
      </c>
      <c r="B36" s="14">
        <v>44602</v>
      </c>
      <c r="C36" s="14">
        <f t="shared" si="0"/>
        <v>52</v>
      </c>
      <c r="E36" t="s">
        <v>84</v>
      </c>
      <c r="F36" s="11">
        <v>46244</v>
      </c>
      <c r="G36" s="11">
        <v>46248</v>
      </c>
      <c r="H36" s="11">
        <v>46275</v>
      </c>
      <c r="I36" s="11">
        <v>46273</v>
      </c>
      <c r="J36" s="11">
        <v>46264</v>
      </c>
    </row>
    <row r="37" spans="1:10">
      <c r="A37" s="7">
        <v>46270</v>
      </c>
      <c r="B37" s="14">
        <v>44634</v>
      </c>
      <c r="C37" s="14">
        <f t="shared" si="0"/>
        <v>32</v>
      </c>
    </row>
    <row r="38" spans="1:10">
      <c r="A38" s="7">
        <v>46271</v>
      </c>
      <c r="B38" s="14">
        <v>44651</v>
      </c>
      <c r="C38" s="14">
        <f t="shared" si="0"/>
        <v>17</v>
      </c>
    </row>
    <row r="39" spans="1:10">
      <c r="A39" s="7">
        <v>46272</v>
      </c>
      <c r="B39" s="14">
        <v>44688</v>
      </c>
      <c r="C39" s="14">
        <f t="shared" si="0"/>
        <v>37</v>
      </c>
    </row>
    <row r="40" spans="1:10">
      <c r="A40" s="7">
        <v>46273</v>
      </c>
      <c r="B40" s="14">
        <v>44775</v>
      </c>
      <c r="C40" s="14">
        <f t="shared" si="0"/>
        <v>87</v>
      </c>
    </row>
    <row r="41" spans="1:10">
      <c r="A41" s="7">
        <v>46274</v>
      </c>
      <c r="B41" s="14">
        <v>44829</v>
      </c>
      <c r="C41" s="14">
        <f t="shared" si="0"/>
        <v>54</v>
      </c>
    </row>
    <row r="42" spans="1:10">
      <c r="A42" s="7">
        <v>46275</v>
      </c>
      <c r="B42" s="14">
        <v>44927</v>
      </c>
      <c r="C42" s="14">
        <f t="shared" si="0"/>
        <v>98</v>
      </c>
    </row>
  </sheetData>
  <mergeCells count="1">
    <mergeCell ref="E2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6AC6-204F-BF43-B07C-ED46E4E35EE5}">
  <dimension ref="A1:C70"/>
  <sheetViews>
    <sheetView tabSelected="1" topLeftCell="A37" workbookViewId="0">
      <selection activeCell="A53" sqref="A53:C70"/>
    </sheetView>
  </sheetViews>
  <sheetFormatPr baseColWidth="10" defaultRowHeight="14"/>
  <cols>
    <col min="1" max="1" width="10.1640625" bestFit="1" customWidth="1"/>
    <col min="2" max="2" width="10.5" bestFit="1" customWidth="1"/>
    <col min="3" max="3" width="14" bestFit="1" customWidth="1"/>
  </cols>
  <sheetData>
    <row r="1" spans="1:3">
      <c r="A1" t="s">
        <v>64</v>
      </c>
      <c r="B1" t="s">
        <v>92</v>
      </c>
      <c r="C1" t="s">
        <v>93</v>
      </c>
    </row>
    <row r="2" spans="1:3">
      <c r="A2" s="7">
        <v>46238</v>
      </c>
      <c r="B2" cm="1">
        <f t="array" ref="B2">COUNTA(_xlfn.UNIQUE(_xlfn._xlws.FILTER(Данные!$A$2:$A$796,INT(Данные!$D$2:$D$796)=A2)))</f>
        <v>6</v>
      </c>
      <c r="C2" cm="1">
        <f t="array" ref="C2">MEDIAN(_xlfn._xlws.FILTER(Данные!$B$2:$B$796,INT(Данные!$D$2:$D$796)='Покупатели и Медиан цена'!A2))</f>
        <v>8475</v>
      </c>
    </row>
    <row r="3" spans="1:3">
      <c r="A3" s="7">
        <v>46239</v>
      </c>
      <c r="B3" cm="1">
        <f t="array" ref="B3">COUNTA(_xlfn.UNIQUE(_xlfn._xlws.FILTER(Данные!$A$2:$A$796,INT(Данные!$D$2:$D$796)=A3)))</f>
        <v>6</v>
      </c>
      <c r="C3" cm="1">
        <f t="array" ref="C3">MEDIAN(_xlfn._xlws.FILTER(Данные!$B$2:$B$796,INT(Данные!$D$2:$D$796)='Покупатели и Медиан цена'!A3))</f>
        <v>8475</v>
      </c>
    </row>
    <row r="4" spans="1:3">
      <c r="A4" s="7">
        <v>46240</v>
      </c>
      <c r="B4" cm="1">
        <f t="array" ref="B4">COUNTA(_xlfn.UNIQUE(_xlfn._xlws.FILTER(Данные!$A$2:$A$796,INT(Данные!$D$2:$D$796)=A4)))</f>
        <v>7</v>
      </c>
      <c r="C4" cm="1">
        <f t="array" ref="C4">MEDIAN(_xlfn._xlws.FILTER(Данные!$B$2:$B$796,INT(Данные!$D$2:$D$796)='Покупатели и Медиан цена'!A4))</f>
        <v>9097.5</v>
      </c>
    </row>
    <row r="5" spans="1:3">
      <c r="A5" s="7">
        <v>46241</v>
      </c>
      <c r="B5" cm="1">
        <f t="array" ref="B5">COUNTA(_xlfn.UNIQUE(_xlfn._xlws.FILTER(Данные!$A$2:$A$796,INT(Данные!$D$2:$D$796)=A5)))</f>
        <v>5</v>
      </c>
      <c r="C5" cm="1">
        <f t="array" ref="C5">MEDIAN(_xlfn._xlws.FILTER(Данные!$B$2:$B$796,INT(Данные!$D$2:$D$796)='Покупатели и Медиан цена'!A5))</f>
        <v>9700</v>
      </c>
    </row>
    <row r="6" spans="1:3">
      <c r="A6" s="7">
        <v>46242</v>
      </c>
      <c r="B6" cm="1">
        <f t="array" ref="B6">COUNTA(_xlfn.UNIQUE(_xlfn._xlws.FILTER(Данные!$A$2:$A$796,INT(Данные!$D$2:$D$796)=A6)))</f>
        <v>35</v>
      </c>
      <c r="C6" cm="1">
        <f t="array" ref="C6">MEDIAN(_xlfn._xlws.FILTER(Данные!$B$2:$B$796,INT(Данные!$D$2:$D$796)='Покупатели и Медиан цена'!A6))</f>
        <v>4995</v>
      </c>
    </row>
    <row r="7" spans="1:3">
      <c r="A7" s="7">
        <v>46243</v>
      </c>
      <c r="B7" cm="1">
        <f t="array" ref="B7">COUNTA(_xlfn.UNIQUE(_xlfn._xlws.FILTER(Данные!$A$2:$A$796,INT(Данные!$D$2:$D$796)=A7)))</f>
        <v>68</v>
      </c>
      <c r="C7" cm="1">
        <f t="array" ref="C7">MEDIAN(_xlfn._xlws.FILTER(Данные!$B$2:$B$796,INT(Данные!$D$2:$D$796)='Покупатели и Медиан цена'!A7))</f>
        <v>4995</v>
      </c>
    </row>
    <row r="8" spans="1:3">
      <c r="A8" s="7">
        <v>46244</v>
      </c>
      <c r="B8" cm="1">
        <f t="array" ref="B8">COUNTA(_xlfn.UNIQUE(_xlfn._xlws.FILTER(Данные!$A$2:$A$796,INT(Данные!$D$2:$D$796)=A8)))</f>
        <v>29</v>
      </c>
      <c r="C8" cm="1">
        <f t="array" ref="C8">MEDIAN(_xlfn._xlws.FILTER(Данные!$B$2:$B$796,INT(Данные!$D$2:$D$796)='Покупатели и Медиан цена'!A8))</f>
        <v>4972.5</v>
      </c>
    </row>
    <row r="9" spans="1:3">
      <c r="A9" s="7">
        <v>46245</v>
      </c>
      <c r="B9" cm="1">
        <f t="array" ref="B9">COUNTA(_xlfn.UNIQUE(_xlfn._xlws.FILTER(Данные!$A$2:$A$796,INT(Данные!$D$2:$D$796)=A9)))</f>
        <v>12</v>
      </c>
      <c r="C9" cm="1">
        <f t="array" ref="C9">MEDIAN(_xlfn._xlws.FILTER(Данные!$B$2:$B$796,INT(Данные!$D$2:$D$796)='Покупатели и Медиан цена'!A9))</f>
        <v>4950</v>
      </c>
    </row>
    <row r="10" spans="1:3">
      <c r="A10" s="7">
        <v>46246</v>
      </c>
      <c r="B10" cm="1">
        <f t="array" ref="B10">COUNTA(_xlfn.UNIQUE(_xlfn._xlws.FILTER(Данные!$A$2:$A$796,INT(Данные!$D$2:$D$796)=A10)))</f>
        <v>14</v>
      </c>
      <c r="C10" cm="1">
        <f t="array" ref="C10">MEDIAN(_xlfn._xlws.FILTER(Данные!$B$2:$B$796,INT(Данные!$D$2:$D$796)='Покупатели и Медиан цена'!A10))</f>
        <v>6490</v>
      </c>
    </row>
    <row r="11" spans="1:3">
      <c r="A11" s="7">
        <v>46247</v>
      </c>
      <c r="B11" cm="1">
        <f t="array" ref="B11">COUNTA(_xlfn.UNIQUE(_xlfn._xlws.FILTER(Данные!$A$2:$A$796,INT(Данные!$D$2:$D$796)=A11)))</f>
        <v>9</v>
      </c>
      <c r="C11" cm="1">
        <f t="array" ref="C11">MEDIAN(_xlfn._xlws.FILTER(Данные!$B$2:$B$796,INT(Данные!$D$2:$D$796)='Покупатели и Медиан цена'!A11))</f>
        <v>8745</v>
      </c>
    </row>
    <row r="12" spans="1:3">
      <c r="A12" s="7">
        <v>46248</v>
      </c>
      <c r="B12" cm="1">
        <f t="array" ref="B12">COUNTA(_xlfn.UNIQUE(_xlfn._xlws.FILTER(Данные!$A$2:$A$796,INT(Данные!$D$2:$D$796)=A12)))</f>
        <v>9</v>
      </c>
      <c r="C12" cm="1">
        <f t="array" ref="C12">MEDIAN(_xlfn._xlws.FILTER(Данные!$B$2:$B$796,INT(Данные!$D$2:$D$796)='Покупатели и Медиан цена'!A12))</f>
        <v>7712.5</v>
      </c>
    </row>
    <row r="13" spans="1:3">
      <c r="A13" s="7">
        <v>46249</v>
      </c>
      <c r="B13" cm="1">
        <f t="array" ref="B13">COUNTA(_xlfn.UNIQUE(_xlfn._xlws.FILTER(Данные!$A$2:$A$796,INT(Данные!$D$2:$D$796)=A13)))</f>
        <v>5</v>
      </c>
      <c r="C13" cm="1">
        <f t="array" ref="C13">MEDIAN(_xlfn._xlws.FILTER(Данные!$B$2:$B$796,INT(Данные!$D$2:$D$796)='Покупатели и Медиан цена'!A13))</f>
        <v>8475</v>
      </c>
    </row>
    <row r="14" spans="1:3">
      <c r="A14" s="7">
        <v>46250</v>
      </c>
      <c r="B14" cm="1">
        <f t="array" ref="B14">COUNTA(_xlfn.UNIQUE(_xlfn._xlws.FILTER(Данные!$A$2:$A$796,INT(Данные!$D$2:$D$796)=A14)))</f>
        <v>5</v>
      </c>
      <c r="C14" cm="1">
        <f t="array" ref="C14">MEDIAN(_xlfn._xlws.FILTER(Данные!$B$2:$B$796,INT(Данные!$D$2:$D$796)='Покупатели и Медиан цена'!A14))</f>
        <v>7847.5</v>
      </c>
    </row>
    <row r="15" spans="1:3">
      <c r="A15" s="7">
        <v>46251</v>
      </c>
      <c r="B15" cm="1">
        <f t="array" ref="B15">COUNTA(_xlfn.UNIQUE(_xlfn._xlws.FILTER(Данные!$A$2:$A$796,INT(Данные!$D$2:$D$796)=A15)))</f>
        <v>3</v>
      </c>
      <c r="C15" cm="1">
        <f t="array" ref="C15">MEDIAN(_xlfn._xlws.FILTER(Данные!$B$2:$B$796,INT(Данные!$D$2:$D$796)='Покупатели и Медиан цена'!A15))</f>
        <v>8745</v>
      </c>
    </row>
    <row r="16" spans="1:3">
      <c r="A16" s="7">
        <v>46252</v>
      </c>
      <c r="B16" cm="1">
        <f t="array" ref="B16">COUNTA(_xlfn.UNIQUE(_xlfn._xlws.FILTER(Данные!$A$2:$A$796,INT(Данные!$D$2:$D$796)=A16)))</f>
        <v>6</v>
      </c>
      <c r="C16" cm="1">
        <f t="array" ref="C16">MEDIAN(_xlfn._xlws.FILTER(Данные!$B$2:$B$796,INT(Данные!$D$2:$D$796)='Покупатели и Медиан цена'!A16))</f>
        <v>8745</v>
      </c>
    </row>
    <row r="17" spans="1:3">
      <c r="A17" s="7">
        <v>46253</v>
      </c>
      <c r="B17" cm="1">
        <f t="array" ref="B17">COUNTA(_xlfn.UNIQUE(_xlfn._xlws.FILTER(Данные!$A$2:$A$796,INT(Данные!$D$2:$D$796)=A17)))</f>
        <v>5</v>
      </c>
      <c r="C17" cm="1">
        <f t="array" ref="C17">MEDIAN(_xlfn._xlws.FILTER(Данные!$B$2:$B$796,INT(Данные!$D$2:$D$796)='Покупатели и Медиан цена'!A17))</f>
        <v>8245</v>
      </c>
    </row>
    <row r="18" spans="1:3">
      <c r="A18" s="7">
        <v>46254</v>
      </c>
      <c r="B18" cm="1">
        <f t="array" ref="B18">COUNTA(_xlfn.UNIQUE(_xlfn._xlws.FILTER(Данные!$A$2:$A$796,INT(Данные!$D$2:$D$796)=A18)))</f>
        <v>6</v>
      </c>
      <c r="C18" cm="1">
        <f t="array" ref="C18">MEDIAN(_xlfn._xlws.FILTER(Данные!$B$2:$B$796,INT(Данные!$D$2:$D$796)='Покупатели и Медиан цена'!A18))</f>
        <v>8745</v>
      </c>
    </row>
    <row r="19" spans="1:3">
      <c r="A19" s="7">
        <v>46255</v>
      </c>
      <c r="B19" cm="1">
        <f t="array" ref="B19">COUNTA(_xlfn.UNIQUE(_xlfn._xlws.FILTER(Данные!$A$2:$A$796,INT(Данные!$D$2:$D$796)=A19)))</f>
        <v>3</v>
      </c>
      <c r="C19" cm="1">
        <f t="array" ref="C19">MEDIAN(_xlfn._xlws.FILTER(Данные!$B$2:$B$796,INT(Данные!$D$2:$D$796)='Покупатели и Медиан цена'!A19))</f>
        <v>9950</v>
      </c>
    </row>
    <row r="20" spans="1:3">
      <c r="A20" s="7">
        <v>46256</v>
      </c>
      <c r="B20" cm="1">
        <f t="array" ref="B20">COUNTA(_xlfn.UNIQUE(_xlfn._xlws.FILTER(Данные!$A$2:$A$796,INT(Данные!$D$2:$D$796)=A20)))</f>
        <v>26</v>
      </c>
      <c r="C20" cm="1">
        <f t="array" ref="C20">MEDIAN(_xlfn._xlws.FILTER(Данные!$B$2:$B$796,INT(Данные!$D$2:$D$796)='Покупатели и Медиан цена'!A20))</f>
        <v>7475</v>
      </c>
    </row>
    <row r="21" spans="1:3">
      <c r="A21" s="7">
        <v>46257</v>
      </c>
      <c r="B21" cm="1">
        <f t="array" ref="B21">COUNTA(_xlfn.UNIQUE(_xlfn._xlws.FILTER(Данные!$A$2:$A$796,INT(Данные!$D$2:$D$796)=A21)))</f>
        <v>39</v>
      </c>
      <c r="C21" cm="1">
        <f t="array" ref="C21">MEDIAN(_xlfn._xlws.FILTER(Данные!$B$2:$B$796,INT(Данные!$D$2:$D$796)='Покупатели и Медиан цена'!A21))</f>
        <v>8000</v>
      </c>
    </row>
    <row r="22" spans="1:3">
      <c r="A22" s="7">
        <v>46258</v>
      </c>
      <c r="B22" cm="1">
        <f t="array" ref="B22">COUNTA(_xlfn.UNIQUE(_xlfn._xlws.FILTER(Данные!$A$2:$A$796,INT(Данные!$D$2:$D$796)=A22)))</f>
        <v>19</v>
      </c>
      <c r="C22" cm="1">
        <f t="array" ref="C22">MEDIAN(_xlfn._xlws.FILTER(Данные!$B$2:$B$796,INT(Данные!$D$2:$D$796)='Покупатели и Медиан цена'!A22))</f>
        <v>8676.5</v>
      </c>
    </row>
    <row r="23" spans="1:3">
      <c r="A23" s="7">
        <v>46259</v>
      </c>
      <c r="B23" cm="1">
        <f t="array" ref="B23">COUNTA(_xlfn.UNIQUE(_xlfn._xlws.FILTER(Данные!$A$2:$A$796,INT(Данные!$D$2:$D$796)=A23)))</f>
        <v>15</v>
      </c>
      <c r="C23" cm="1">
        <f t="array" ref="C23">MEDIAN(_xlfn._xlws.FILTER(Данные!$B$2:$B$796,INT(Данные!$D$2:$D$796)='Покупатели и Медиан цена'!A23))</f>
        <v>7475</v>
      </c>
    </row>
    <row r="24" spans="1:3">
      <c r="A24" s="7">
        <v>46260</v>
      </c>
      <c r="B24" cm="1">
        <f t="array" ref="B24">COUNTA(_xlfn.UNIQUE(_xlfn._xlws.FILTER(Данные!$A$2:$A$796,INT(Данные!$D$2:$D$796)=A24)))</f>
        <v>9</v>
      </c>
      <c r="C24" cm="1">
        <f t="array" ref="C24">MEDIAN(_xlfn._xlws.FILTER(Данные!$B$2:$B$796,INT(Данные!$D$2:$D$796)='Покупатели и Медиан цена'!A24))</f>
        <v>8700</v>
      </c>
    </row>
    <row r="25" spans="1:3">
      <c r="A25" s="7">
        <v>46261</v>
      </c>
      <c r="B25" cm="1">
        <f t="array" ref="B25">COUNTA(_xlfn.UNIQUE(_xlfn._xlws.FILTER(Данные!$A$2:$A$796,INT(Данные!$D$2:$D$796)=A25)))</f>
        <v>10</v>
      </c>
      <c r="C25" cm="1">
        <f t="array" ref="C25">MEDIAN(_xlfn._xlws.FILTER(Данные!$B$2:$B$796,INT(Данные!$D$2:$D$796)='Покупатели и Медиан цена'!A25))</f>
        <v>7468.75</v>
      </c>
    </row>
    <row r="26" spans="1:3">
      <c r="A26" s="7">
        <v>46262</v>
      </c>
      <c r="B26" cm="1">
        <f t="array" ref="B26">COUNTA(_xlfn.UNIQUE(_xlfn._xlws.FILTER(Данные!$A$2:$A$796,INT(Данные!$D$2:$D$796)=A26)))</f>
        <v>6</v>
      </c>
      <c r="C26" cm="1">
        <f t="array" ref="C26">MEDIAN(_xlfn._xlws.FILTER(Данные!$B$2:$B$796,INT(Данные!$D$2:$D$796)='Покупатели и Медиан цена'!A26))</f>
        <v>8950</v>
      </c>
    </row>
    <row r="27" spans="1:3">
      <c r="A27" s="7">
        <v>46263</v>
      </c>
      <c r="B27" cm="1">
        <f t="array" ref="B27">COUNTA(_xlfn.UNIQUE(_xlfn._xlws.FILTER(Данные!$A$2:$A$796,INT(Данные!$D$2:$D$796)=A27)))</f>
        <v>10</v>
      </c>
      <c r="C27" cm="1">
        <f t="array" ref="C27">MEDIAN(_xlfn._xlws.FILTER(Данные!$B$2:$B$796,INT(Данные!$D$2:$D$796)='Покупатели и Медиан цена'!A27))</f>
        <v>7475</v>
      </c>
    </row>
    <row r="28" spans="1:3">
      <c r="A28" s="7">
        <v>46264</v>
      </c>
      <c r="B28" cm="1">
        <f t="array" ref="B28">COUNTA(_xlfn.UNIQUE(_xlfn._xlws.FILTER(Данные!$A$2:$A$796,INT(Данные!$D$2:$D$796)=A28)))</f>
        <v>19</v>
      </c>
      <c r="C28" cm="1">
        <f t="array" ref="C28">MEDIAN(_xlfn._xlws.FILTER(Данные!$B$2:$B$796,INT(Данные!$D$2:$D$796)='Покупатели и Медиан цена'!A28))</f>
        <v>8450</v>
      </c>
    </row>
    <row r="29" spans="1:3">
      <c r="A29" s="7">
        <v>46265</v>
      </c>
      <c r="B29" cm="1">
        <f t="array" ref="B29">COUNTA(_xlfn.UNIQUE(_xlfn._xlws.FILTER(Данные!$A$2:$A$796,INT(Данные!$D$2:$D$796)=A29)))</f>
        <v>19</v>
      </c>
      <c r="C29" cm="1">
        <f t="array" ref="C29">MEDIAN(_xlfn._xlws.FILTER(Данные!$B$2:$B$796,INT(Данные!$D$2:$D$796)='Покупатели и Медиан цена'!A29))</f>
        <v>8450</v>
      </c>
    </row>
    <row r="30" spans="1:3">
      <c r="A30" s="7">
        <v>46266</v>
      </c>
      <c r="B30" cm="1">
        <f t="array" ref="B30">COUNTA(_xlfn.UNIQUE(_xlfn._xlws.FILTER(Данные!$A$2:$A$796,INT(Данные!$D$2:$D$796)=A30)))</f>
        <v>19</v>
      </c>
      <c r="C30" cm="1">
        <f t="array" ref="C30">MEDIAN(_xlfn._xlws.FILTER(Данные!$B$2:$B$796,INT(Данные!$D$2:$D$796)='Покупатели и Медиан цена'!A30))</f>
        <v>8245</v>
      </c>
    </row>
    <row r="31" spans="1:3">
      <c r="A31" s="7">
        <v>46267</v>
      </c>
      <c r="B31" cm="1">
        <f t="array" ref="B31">COUNTA(_xlfn.UNIQUE(_xlfn._xlws.FILTER(Данные!$A$2:$A$796,INT(Данные!$D$2:$D$796)=A31)))</f>
        <v>23</v>
      </c>
      <c r="C31" cm="1">
        <f t="array" ref="C31">MEDIAN(_xlfn._xlws.FILTER(Данные!$B$2:$B$796,INT(Данные!$D$2:$D$796)='Покупатели и Медиан цена'!A31))</f>
        <v>8347.5</v>
      </c>
    </row>
    <row r="32" spans="1:3">
      <c r="A32" s="7">
        <v>46268</v>
      </c>
      <c r="B32" cm="1">
        <f t="array" ref="B32">COUNTA(_xlfn.UNIQUE(_xlfn._xlws.FILTER(Данные!$A$2:$A$796,INT(Данные!$D$2:$D$796)=A32)))</f>
        <v>20</v>
      </c>
      <c r="C32" cm="1">
        <f t="array" ref="C32">MEDIAN(_xlfn._xlws.FILTER(Данные!$B$2:$B$796,INT(Данные!$D$2:$D$796)='Покупатели и Медиан цена'!A32))</f>
        <v>8450</v>
      </c>
    </row>
    <row r="33" spans="1:3">
      <c r="A33" s="7">
        <v>46269</v>
      </c>
      <c r="B33" cm="1">
        <f t="array" ref="B33">COUNTA(_xlfn.UNIQUE(_xlfn._xlws.FILTER(Данные!$A$2:$A$796,INT(Данные!$D$2:$D$796)=A33)))</f>
        <v>26</v>
      </c>
      <c r="C33" cm="1">
        <f t="array" ref="C33">MEDIAN(_xlfn._xlws.FILTER(Данные!$B$2:$B$796,INT(Данные!$D$2:$D$796)='Покупатели и Медиан цена'!A33))</f>
        <v>7475</v>
      </c>
    </row>
    <row r="34" spans="1:3">
      <c r="A34" s="7">
        <v>46270</v>
      </c>
      <c r="B34" cm="1">
        <f t="array" ref="B34">COUNTA(_xlfn.UNIQUE(_xlfn._xlws.FILTER(Данные!$A$2:$A$796,INT(Данные!$D$2:$D$796)=A34)))</f>
        <v>48</v>
      </c>
      <c r="C34" cm="1">
        <f t="array" ref="C34">MEDIAN(_xlfn._xlws.FILTER(Данные!$B$2:$B$796,INT(Данные!$D$2:$D$796)='Покупатели и Медиан цена'!A34))</f>
        <v>8450</v>
      </c>
    </row>
    <row r="35" spans="1:3">
      <c r="A35" s="7">
        <v>46271</v>
      </c>
      <c r="B35" cm="1">
        <f t="array" ref="B35">COUNTA(_xlfn.UNIQUE(_xlfn._xlws.FILTER(Данные!$A$2:$A$796,INT(Данные!$D$2:$D$796)=A35)))</f>
        <v>45</v>
      </c>
      <c r="C35" cm="1">
        <f t="array" ref="C35">MEDIAN(_xlfn._xlws.FILTER(Данные!$B$2:$B$796,INT(Данные!$D$2:$D$796)='Покупатели и Медиан цена'!A35))</f>
        <v>7475</v>
      </c>
    </row>
    <row r="36" spans="1:3">
      <c r="A36" s="7">
        <v>46272</v>
      </c>
      <c r="B36" cm="1">
        <f t="array" ref="B36">COUNTA(_xlfn.UNIQUE(_xlfn._xlws.FILTER(Данные!$A$2:$A$796,INT(Данные!$D$2:$D$796)=A36)))</f>
        <v>17</v>
      </c>
      <c r="C36" cm="1">
        <f t="array" ref="C36">MEDIAN(_xlfn._xlws.FILTER(Данные!$B$2:$B$796,INT(Данные!$D$2:$D$796)='Покупатели и Медиан цена'!A36))</f>
        <v>8950</v>
      </c>
    </row>
    <row r="37" spans="1:3">
      <c r="A37" s="7">
        <v>46273</v>
      </c>
      <c r="B37" cm="1">
        <f t="array" ref="B37">COUNTA(_xlfn.UNIQUE(_xlfn._xlws.FILTER(Данные!$A$2:$A$796,INT(Данные!$D$2:$D$796)=A37)))</f>
        <v>6</v>
      </c>
      <c r="C37" cm="1">
        <f t="array" ref="C37">MEDIAN(_xlfn._xlws.FILTER(Данные!$B$2:$B$796,INT(Данные!$D$2:$D$796)='Покупатели и Медиан цена'!A37))</f>
        <v>7500</v>
      </c>
    </row>
    <row r="38" spans="1:3">
      <c r="A38" s="7">
        <v>46274</v>
      </c>
      <c r="B38" cm="1">
        <f t="array" ref="B38">COUNTA(_xlfn.UNIQUE(_xlfn._xlws.FILTER(Данные!$A$2:$A$796,INT(Данные!$D$2:$D$796)=A38)))</f>
        <v>16</v>
      </c>
      <c r="C38" cm="1">
        <f t="array" ref="C38">MEDIAN(_xlfn._xlws.FILTER(Данные!$B$2:$B$796,INT(Данные!$D$2:$D$796)='Покупатели и Медиан цена'!A38))</f>
        <v>7475</v>
      </c>
    </row>
    <row r="53" spans="1:3">
      <c r="A53" s="19" t="s">
        <v>96</v>
      </c>
      <c r="B53" s="16"/>
      <c r="C53" s="16"/>
    </row>
    <row r="54" spans="1:3">
      <c r="A54" s="16"/>
      <c r="B54" s="16"/>
      <c r="C54" s="16"/>
    </row>
    <row r="55" spans="1:3">
      <c r="A55" s="16"/>
      <c r="B55" s="16"/>
      <c r="C55" s="16"/>
    </row>
    <row r="56" spans="1:3">
      <c r="A56" s="16"/>
      <c r="B56" s="16"/>
      <c r="C56" s="16"/>
    </row>
    <row r="57" spans="1:3">
      <c r="A57" s="16"/>
      <c r="B57" s="16"/>
      <c r="C57" s="16"/>
    </row>
    <row r="58" spans="1:3">
      <c r="A58" s="16"/>
      <c r="B58" s="16"/>
      <c r="C58" s="16"/>
    </row>
    <row r="59" spans="1:3">
      <c r="A59" s="16"/>
      <c r="B59" s="16"/>
      <c r="C59" s="16"/>
    </row>
    <row r="60" spans="1:3">
      <c r="A60" s="16"/>
      <c r="B60" s="16"/>
      <c r="C60" s="16"/>
    </row>
    <row r="61" spans="1:3">
      <c r="A61" s="16"/>
      <c r="B61" s="16"/>
      <c r="C61" s="16"/>
    </row>
    <row r="62" spans="1:3">
      <c r="A62" s="16"/>
      <c r="B62" s="16"/>
      <c r="C62" s="16"/>
    </row>
    <row r="63" spans="1:3">
      <c r="A63" s="16"/>
      <c r="B63" s="16"/>
      <c r="C63" s="16"/>
    </row>
    <row r="64" spans="1:3">
      <c r="A64" s="16"/>
      <c r="B64" s="16"/>
      <c r="C64" s="16"/>
    </row>
    <row r="65" spans="1:3">
      <c r="A65" s="16"/>
      <c r="B65" s="16"/>
      <c r="C65" s="16"/>
    </row>
    <row r="66" spans="1:3">
      <c r="A66" s="16"/>
      <c r="B66" s="16"/>
      <c r="C66" s="16"/>
    </row>
    <row r="67" spans="1:3">
      <c r="A67" s="16"/>
      <c r="B67" s="16"/>
      <c r="C67" s="16"/>
    </row>
    <row r="68" spans="1:3">
      <c r="A68" s="16"/>
      <c r="B68" s="16"/>
      <c r="C68" s="16"/>
    </row>
    <row r="69" spans="1:3">
      <c r="A69" s="16"/>
      <c r="B69" s="16"/>
      <c r="C69" s="16"/>
    </row>
    <row r="70" spans="1:3">
      <c r="A70" s="16"/>
      <c r="B70" s="16"/>
      <c r="C70" s="16"/>
    </row>
  </sheetData>
  <mergeCells count="1">
    <mergeCell ref="A53:C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общее</vt:lpstr>
      <vt:lpstr>анализ репостов постов </vt:lpstr>
      <vt:lpstr>Сумма Продаж Каждый День</vt:lpstr>
      <vt:lpstr>Кол-Во Подписчиков</vt:lpstr>
      <vt:lpstr>Покупатели и Медиан цена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 Просто</cp:lastModifiedBy>
  <dcterms:created xsi:type="dcterms:W3CDTF">2026-09-11T19:14:08Z</dcterms:created>
  <dcterms:modified xsi:type="dcterms:W3CDTF">2026-09-11T20:36:24Z</dcterms:modified>
</cp:coreProperties>
</file>